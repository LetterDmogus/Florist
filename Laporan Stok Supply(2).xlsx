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CC96A5E-64D4-1C41-A470-0D8B3EAA0F18}" xr6:coauthVersionLast="47" xr6:coauthVersionMax="47" xr10:uidLastSave="{00000000-0000-0000-0000-000000000000}"/>
  <bookViews>
    <workbookView xWindow="6620" yWindow="500" windowWidth="21800" windowHeight="16300" xr2:uid="{67058177-5790-FF49-BEA5-FFDFD5DF7EF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7" i="1" l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I522" i="1"/>
  <c r="H522" i="1"/>
  <c r="G522" i="1"/>
  <c r="I521" i="1"/>
  <c r="H521" i="1"/>
  <c r="G521" i="1"/>
  <c r="I520" i="1"/>
  <c r="H520" i="1"/>
  <c r="G520" i="1"/>
  <c r="I519" i="1"/>
  <c r="H519" i="1"/>
  <c r="G519" i="1"/>
  <c r="I518" i="1"/>
  <c r="H518" i="1"/>
  <c r="G518" i="1"/>
  <c r="I517" i="1"/>
  <c r="H517" i="1"/>
  <c r="G517" i="1"/>
  <c r="I516" i="1"/>
  <c r="H516" i="1"/>
  <c r="G516" i="1"/>
  <c r="I515" i="1"/>
  <c r="H515" i="1"/>
  <c r="G515" i="1"/>
  <c r="I514" i="1"/>
  <c r="H514" i="1"/>
  <c r="G514" i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</calcChain>
</file>

<file path=xl/sharedStrings.xml><?xml version="1.0" encoding="utf-8"?>
<sst xmlns="http://schemas.openxmlformats.org/spreadsheetml/2006/main" count="1846" uniqueCount="1165">
  <si>
    <t>DAFTAR PRODUK</t>
    <phoneticPr fontId="0" type="noConversion"/>
  </si>
  <si>
    <t>Kode</t>
  </si>
  <si>
    <t>Name</t>
  </si>
  <si>
    <t>Harga Jual</t>
  </si>
  <si>
    <t>Sheets</t>
  </si>
  <si>
    <t>Size</t>
  </si>
  <si>
    <t>Stock Awal</t>
    <phoneticPr fontId="0" type="noConversion"/>
  </si>
  <si>
    <t>Stok Masuk</t>
    <phoneticPr fontId="0" type="noConversion"/>
  </si>
  <si>
    <t>Stok Keluar</t>
    <phoneticPr fontId="0" type="noConversion"/>
  </si>
  <si>
    <t>Sisa</t>
    <phoneticPr fontId="0" type="noConversion"/>
  </si>
  <si>
    <t>WP1</t>
  </si>
  <si>
    <t>white cherry pink</t>
  </si>
  <si>
    <t>20lbr/pack</t>
  </si>
  <si>
    <t>56x56cm</t>
  </si>
  <si>
    <t>WP2</t>
  </si>
  <si>
    <t>white cherry red</t>
  </si>
  <si>
    <t>WP3</t>
  </si>
  <si>
    <t>everyday I love you white</t>
  </si>
  <si>
    <t>WP4</t>
  </si>
  <si>
    <t>everyday I love you pink</t>
  </si>
  <si>
    <t>WP5</t>
  </si>
  <si>
    <t>kotak pink</t>
  </si>
  <si>
    <t>WP6</t>
  </si>
  <si>
    <t>kotak blue</t>
  </si>
  <si>
    <t>WP7</t>
  </si>
  <si>
    <t>kotak ungu</t>
  </si>
  <si>
    <t>WP8</t>
  </si>
  <si>
    <t>Small Love Pink</t>
    <phoneticPr fontId="0" type="noConversion"/>
  </si>
  <si>
    <t>WP9</t>
  </si>
  <si>
    <t>Small Love White</t>
    <phoneticPr fontId="0" type="noConversion"/>
  </si>
  <si>
    <t>WP10</t>
  </si>
  <si>
    <t>Small Love Yellow</t>
  </si>
  <si>
    <t>WP11</t>
  </si>
  <si>
    <t>Small Love Red</t>
  </si>
  <si>
    <t>WP12</t>
  </si>
  <si>
    <t>Big Love White</t>
  </si>
  <si>
    <t>WP13</t>
  </si>
  <si>
    <t>Bih Love Black</t>
  </si>
  <si>
    <t>WP14</t>
  </si>
  <si>
    <t>Big Love Red</t>
  </si>
  <si>
    <t>WP15</t>
  </si>
  <si>
    <t>Big Love Purple</t>
  </si>
  <si>
    <t>WP16</t>
  </si>
  <si>
    <t>Big Love Pink</t>
  </si>
  <si>
    <t>WP17</t>
  </si>
  <si>
    <t>Big Love Green</t>
  </si>
  <si>
    <t>WP18</t>
  </si>
  <si>
    <t>Grey Goldlace</t>
  </si>
  <si>
    <t>WP19</t>
  </si>
  <si>
    <t>Black Goldlace</t>
  </si>
  <si>
    <t>WP20</t>
  </si>
  <si>
    <t>White Goldlace</t>
  </si>
  <si>
    <t>WP21</t>
  </si>
  <si>
    <t>Blue Goldlace</t>
  </si>
  <si>
    <t>WP22</t>
  </si>
  <si>
    <t>Khaki/ Milktea Goldlace</t>
  </si>
  <si>
    <t>WP23</t>
  </si>
  <si>
    <t>Yellow Goldlace</t>
  </si>
  <si>
    <t>WP24</t>
  </si>
  <si>
    <t>Soft Pink Goldlace</t>
  </si>
  <si>
    <t>WP25</t>
  </si>
  <si>
    <t>Green Goldlace</t>
  </si>
  <si>
    <t>WP26</t>
  </si>
  <si>
    <t>Transparent Goldlace</t>
  </si>
  <si>
    <t>WP27</t>
  </si>
  <si>
    <t>Purple Goldlace</t>
  </si>
  <si>
    <t>WP28</t>
  </si>
  <si>
    <t>Dior Gold</t>
  </si>
  <si>
    <t>WP29</t>
  </si>
  <si>
    <t>Dior Red</t>
  </si>
  <si>
    <t>WP30</t>
  </si>
  <si>
    <t>Dior Pink</t>
  </si>
  <si>
    <t>WP31</t>
  </si>
  <si>
    <t>Love is eternal Black</t>
  </si>
  <si>
    <t>WP32</t>
  </si>
  <si>
    <t>Love is Eternal White</t>
  </si>
  <si>
    <t>WP33</t>
  </si>
  <si>
    <t>Red Elegant</t>
  </si>
  <si>
    <t>WP34</t>
  </si>
  <si>
    <t>White Elegant</t>
  </si>
  <si>
    <t>WP35</t>
  </si>
  <si>
    <t>Pink Elegant</t>
  </si>
  <si>
    <t>WP36</t>
  </si>
  <si>
    <t>Black Elegant</t>
  </si>
  <si>
    <t>WP37</t>
  </si>
  <si>
    <t>polkadot milktea</t>
  </si>
  <si>
    <t>WP38</t>
  </si>
  <si>
    <t>polkadot ungu</t>
  </si>
  <si>
    <t>WP39</t>
  </si>
  <si>
    <t>polkadot yellow</t>
  </si>
  <si>
    <t>WP40</t>
  </si>
  <si>
    <t>polkadot pink</t>
  </si>
  <si>
    <t>WP41</t>
  </si>
  <si>
    <t>polkadot of white</t>
  </si>
  <si>
    <t>WP42</t>
  </si>
  <si>
    <t>Rose mean love white</t>
  </si>
  <si>
    <t>10lbr/pack</t>
  </si>
  <si>
    <t>45x30cm</t>
  </si>
  <si>
    <t>WP43</t>
  </si>
  <si>
    <t>Rose mean love black</t>
  </si>
  <si>
    <t>WP44</t>
  </si>
  <si>
    <t>black lace black</t>
  </si>
  <si>
    <t>WP45</t>
  </si>
  <si>
    <t>white lace white</t>
  </si>
  <si>
    <t>WP46</t>
  </si>
  <si>
    <t>You are my sunshine</t>
  </si>
  <si>
    <t>WP47</t>
  </si>
  <si>
    <t>You are my love</t>
  </si>
  <si>
    <t>WP48</t>
  </si>
  <si>
    <t>White Outer lace gold</t>
  </si>
  <si>
    <t>WP49</t>
  </si>
  <si>
    <t>Black outer lace gold</t>
  </si>
  <si>
    <t>WP50</t>
  </si>
  <si>
    <t>grey outer lace gold</t>
  </si>
  <si>
    <t>WP51</t>
  </si>
  <si>
    <t>pink outer lace gold</t>
  </si>
  <si>
    <t>WP52</t>
  </si>
  <si>
    <t>blue outer lace gold</t>
  </si>
  <si>
    <t>WP53</t>
  </si>
  <si>
    <t>green outer lace gold</t>
  </si>
  <si>
    <t>WP54</t>
  </si>
  <si>
    <t>khaki outer lace gold</t>
  </si>
  <si>
    <t>WP55</t>
  </si>
  <si>
    <t>Love crush putih</t>
  </si>
  <si>
    <t>WP56</t>
  </si>
  <si>
    <t>Love crush merah</t>
  </si>
  <si>
    <t>WP57</t>
  </si>
  <si>
    <t>Love crush hitam</t>
  </si>
  <si>
    <t>WP58</t>
  </si>
  <si>
    <t>blue out blue</t>
  </si>
  <si>
    <t>WP59</t>
  </si>
  <si>
    <t>pink out pink</t>
  </si>
  <si>
    <t>WP60</t>
  </si>
  <si>
    <t>green out green</t>
  </si>
  <si>
    <t>WP61</t>
  </si>
  <si>
    <t>purple out purple</t>
  </si>
  <si>
    <t>WP62</t>
  </si>
  <si>
    <t>black out black</t>
  </si>
  <si>
    <t>WP63</t>
  </si>
  <si>
    <t>metalic</t>
  </si>
  <si>
    <t>53x53cm</t>
  </si>
  <si>
    <t>WP64</t>
  </si>
  <si>
    <t>transparent lace silver</t>
  </si>
  <si>
    <t>WP65</t>
  </si>
  <si>
    <t>black lace silver</t>
  </si>
  <si>
    <t>WP66</t>
  </si>
  <si>
    <t>purple lace silver</t>
  </si>
  <si>
    <t>WP67</t>
  </si>
  <si>
    <t>green lace silver</t>
  </si>
  <si>
    <t>WP68</t>
  </si>
  <si>
    <t>yellow lace silver</t>
  </si>
  <si>
    <t>WP69</t>
  </si>
  <si>
    <t>blue lace silver</t>
  </si>
  <si>
    <t>WP70</t>
  </si>
  <si>
    <t>pink lace silver</t>
  </si>
  <si>
    <t>WP71</t>
  </si>
  <si>
    <t>white lace silver</t>
  </si>
  <si>
    <t>WP72</t>
  </si>
  <si>
    <t>cloudy rectangle black</t>
  </si>
  <si>
    <t>WP73</t>
  </si>
  <si>
    <t>cloudy rechtangle pink</t>
  </si>
  <si>
    <t>WP74</t>
  </si>
  <si>
    <t>cloudy rectangle yellow</t>
  </si>
  <si>
    <t>WP75</t>
  </si>
  <si>
    <t>cloudy rectangle blue</t>
  </si>
  <si>
    <t>WP76</t>
  </si>
  <si>
    <t>cloudy rectangle purple</t>
  </si>
  <si>
    <t>WP77</t>
  </si>
  <si>
    <t>cloudy rectangle white</t>
  </si>
  <si>
    <t>WP78</t>
  </si>
  <si>
    <t>single LOVE AND FREEDOM</t>
    <phoneticPr fontId="0" type="noConversion"/>
  </si>
  <si>
    <t>50lbr/pack</t>
  </si>
  <si>
    <t>12x4x45cm</t>
  </si>
  <si>
    <t>WP79</t>
  </si>
  <si>
    <t>single pack white</t>
  </si>
  <si>
    <t>WP80</t>
  </si>
  <si>
    <t>Love you white</t>
    <phoneticPr fontId="0" type="noConversion"/>
  </si>
  <si>
    <t>WP81</t>
  </si>
  <si>
    <t>hitam polos</t>
  </si>
  <si>
    <t>WP82</t>
  </si>
  <si>
    <t>putih polos</t>
    <phoneticPr fontId="0" type="noConversion"/>
  </si>
  <si>
    <t>WP83</t>
  </si>
  <si>
    <t>transparan polos</t>
  </si>
  <si>
    <t>WP84</t>
  </si>
  <si>
    <t>biru polos</t>
  </si>
  <si>
    <t>WP85</t>
  </si>
  <si>
    <t>pink polos</t>
  </si>
  <si>
    <t>WP86</t>
  </si>
  <si>
    <t>hitam pekat</t>
  </si>
  <si>
    <t>WP87</t>
  </si>
  <si>
    <t>putih pekat</t>
  </si>
  <si>
    <t>WP88</t>
  </si>
  <si>
    <t>pink pekat</t>
  </si>
  <si>
    <t>WP89</t>
  </si>
  <si>
    <t>navy pekat</t>
  </si>
  <si>
    <t>WP90</t>
  </si>
  <si>
    <t>biru pink double side</t>
  </si>
  <si>
    <t>WP91</t>
  </si>
  <si>
    <t>hijau kuning double side</t>
  </si>
  <si>
    <t>WP92</t>
  </si>
  <si>
    <t>pink pink double side</t>
  </si>
  <si>
    <t>WP93</t>
  </si>
  <si>
    <t>daun kecil putih</t>
  </si>
  <si>
    <t>WP94</t>
  </si>
  <si>
    <t>daun kecil barbie</t>
  </si>
  <si>
    <t>WP95</t>
  </si>
  <si>
    <t>daun kecil ungu</t>
  </si>
  <si>
    <t>WP96</t>
  </si>
  <si>
    <t>daun kecil pink</t>
  </si>
  <si>
    <t>WP97</t>
  </si>
  <si>
    <t>daun kecil Biru</t>
    <phoneticPr fontId="0" type="noConversion"/>
  </si>
  <si>
    <t>WP98</t>
  </si>
  <si>
    <t>red gold</t>
  </si>
  <si>
    <t>WP99</t>
  </si>
  <si>
    <t>Blue Gold</t>
    <phoneticPr fontId="0" type="noConversion"/>
  </si>
  <si>
    <t>WP100</t>
  </si>
  <si>
    <t>hologram transparan</t>
  </si>
  <si>
    <t>50x50cm</t>
  </si>
  <si>
    <t>WP101</t>
  </si>
  <si>
    <t>motif bunga merah</t>
  </si>
  <si>
    <t>WP102</t>
  </si>
  <si>
    <t>motif bunga lighgreen</t>
  </si>
  <si>
    <t>WP103</t>
  </si>
  <si>
    <t>motif bunga biru</t>
  </si>
  <si>
    <t>WP104</t>
  </si>
  <si>
    <t>vintage red</t>
  </si>
  <si>
    <t>50x58cm</t>
  </si>
  <si>
    <t>WP105</t>
  </si>
  <si>
    <t>vintage pink</t>
  </si>
  <si>
    <t>WP106</t>
  </si>
  <si>
    <t>vintage blue</t>
  </si>
  <si>
    <t>WP107</t>
  </si>
  <si>
    <t>vintage white</t>
  </si>
  <si>
    <t>WP108</t>
  </si>
  <si>
    <t>vintage grey</t>
  </si>
  <si>
    <t>WP109</t>
  </si>
  <si>
    <t>vintage purple</t>
  </si>
  <si>
    <t>WP110</t>
  </si>
  <si>
    <t>vintage rose pink</t>
  </si>
  <si>
    <t>WP111</t>
  </si>
  <si>
    <t>vintage rose red</t>
  </si>
  <si>
    <t>WP112</t>
  </si>
  <si>
    <t>love square pink</t>
  </si>
  <si>
    <t>WP113</t>
  </si>
  <si>
    <t>love square blue</t>
  </si>
  <si>
    <t>WP114</t>
  </si>
  <si>
    <t>love square purple</t>
  </si>
  <si>
    <t>WP115</t>
  </si>
  <si>
    <t>love square red</t>
  </si>
  <si>
    <t>WP116</t>
  </si>
  <si>
    <t>Bear White</t>
  </si>
  <si>
    <t>44.25.7x9cm</t>
  </si>
  <si>
    <t>WP117</t>
  </si>
  <si>
    <t>Love Red</t>
  </si>
  <si>
    <t>53x47cm</t>
  </si>
  <si>
    <t>WP118</t>
  </si>
  <si>
    <t>Love Purple</t>
  </si>
  <si>
    <t>WP119</t>
  </si>
  <si>
    <t>Love Pink</t>
  </si>
  <si>
    <t>WP120</t>
  </si>
  <si>
    <t>Black  Sweet</t>
  </si>
  <si>
    <t>58x58cm</t>
  </si>
  <si>
    <t>WP121</t>
  </si>
  <si>
    <t>White Sweet</t>
  </si>
  <si>
    <t>WP122</t>
  </si>
  <si>
    <t>Ribbon White</t>
  </si>
  <si>
    <t>WP123</t>
  </si>
  <si>
    <t>Ribbon Yellow</t>
  </si>
  <si>
    <t>WP124</t>
  </si>
  <si>
    <t>Ribbon Pink</t>
  </si>
  <si>
    <t>WP125</t>
  </si>
  <si>
    <t>Ribbon Black</t>
  </si>
  <si>
    <t>WP126</t>
  </si>
  <si>
    <t>Ribbon Blue</t>
  </si>
  <si>
    <t>WP127</t>
  </si>
  <si>
    <t>Ribbon Purple</t>
  </si>
  <si>
    <t>WP128</t>
  </si>
  <si>
    <t>Ribbon Red</t>
  </si>
  <si>
    <t>WP129</t>
  </si>
  <si>
    <t>White Tulip</t>
  </si>
  <si>
    <t>54x55cm</t>
  </si>
  <si>
    <t>WP130</t>
  </si>
  <si>
    <t>Single Love</t>
  </si>
  <si>
    <t>14x40cm</t>
  </si>
  <si>
    <t>WP131</t>
  </si>
  <si>
    <t>Single Romantic Love</t>
  </si>
  <si>
    <t>WP132</t>
    <phoneticPr fontId="0" type="noConversion"/>
  </si>
  <si>
    <t>Background love you forever hitam</t>
    <phoneticPr fontId="0" type="noConversion"/>
  </si>
  <si>
    <t>WP133</t>
    <phoneticPr fontId="0" type="noConversion"/>
  </si>
  <si>
    <t>Background love you forever putih</t>
    <phoneticPr fontId="0" type="noConversion"/>
  </si>
  <si>
    <t>WP134</t>
  </si>
  <si>
    <t>Like You White</t>
  </si>
  <si>
    <t>20sheets/ Pack</t>
  </si>
  <si>
    <t>58 x 58 cm</t>
  </si>
  <si>
    <t>WP135</t>
  </si>
  <si>
    <t>Like You Pink</t>
  </si>
  <si>
    <t>WP136</t>
  </si>
  <si>
    <t>Like You Blue</t>
  </si>
  <si>
    <t>WP137</t>
  </si>
  <si>
    <t>Like You Green</t>
  </si>
  <si>
    <t>WP138</t>
  </si>
  <si>
    <t>Like You Yellow</t>
  </si>
  <si>
    <t>WP139</t>
  </si>
  <si>
    <t>Castle Pink</t>
  </si>
  <si>
    <t>10Sheets/ Pack</t>
  </si>
  <si>
    <t>38 x 58 cm</t>
  </si>
  <si>
    <t>WP140</t>
  </si>
  <si>
    <t>Castle Black</t>
  </si>
  <si>
    <t>WP141</t>
  </si>
  <si>
    <t>Kotak Coklat</t>
  </si>
  <si>
    <t>WP142</t>
  </si>
  <si>
    <t>Bi Color Yellow</t>
  </si>
  <si>
    <t>WP143</t>
  </si>
  <si>
    <t>Bi Color Purple</t>
  </si>
  <si>
    <t>WP144</t>
  </si>
  <si>
    <t>Bi Color Soft Blue</t>
  </si>
  <si>
    <t>WP145</t>
  </si>
  <si>
    <t>Bi Color Pink</t>
  </si>
  <si>
    <t>WP146</t>
  </si>
  <si>
    <t>Bi Color Dark Blue</t>
  </si>
  <si>
    <t>WP147</t>
  </si>
  <si>
    <t>Pink Sweet</t>
  </si>
  <si>
    <t>WP148</t>
  </si>
  <si>
    <t>Red Sweet</t>
  </si>
  <si>
    <t>WP149</t>
  </si>
  <si>
    <t>Yellow Sweet</t>
  </si>
  <si>
    <t>WP150</t>
  </si>
  <si>
    <t>Disney Linabell Pink</t>
  </si>
  <si>
    <t>37 x 53 cm</t>
  </si>
  <si>
    <t>WP151</t>
  </si>
  <si>
    <t>Disney Linabell Purple</t>
  </si>
  <si>
    <t>WP152</t>
  </si>
  <si>
    <t>Double color Love merah</t>
  </si>
  <si>
    <t>WP153</t>
  </si>
  <si>
    <t>Double color Love kuning</t>
  </si>
  <si>
    <t>WP154</t>
  </si>
  <si>
    <t>Double color Love hitam</t>
  </si>
  <si>
    <t>WP155</t>
  </si>
  <si>
    <t>Double color Love pink</t>
  </si>
  <si>
    <t>WP156</t>
  </si>
  <si>
    <t>Double color Love ungu</t>
  </si>
  <si>
    <t>WP157</t>
  </si>
  <si>
    <t>Double color Love biru</t>
  </si>
  <si>
    <t>WP158</t>
  </si>
  <si>
    <t>Double color Love soft pink</t>
  </si>
  <si>
    <t>WP159</t>
  </si>
  <si>
    <t>Motif Bunga Merah</t>
  </si>
  <si>
    <t>35x50cm</t>
  </si>
  <si>
    <t>WP160</t>
  </si>
  <si>
    <t>Motif Bunga Pink</t>
  </si>
  <si>
    <t>WP161</t>
  </si>
  <si>
    <t>Small Love Black</t>
  </si>
  <si>
    <t>WP162</t>
  </si>
  <si>
    <t>Love Loves Pink</t>
  </si>
  <si>
    <t>WP163</t>
  </si>
  <si>
    <t>Love Loves Merah</t>
  </si>
  <si>
    <t>WP164</t>
  </si>
  <si>
    <t>Love Loves Biru</t>
  </si>
  <si>
    <t>WP165</t>
  </si>
  <si>
    <t>Love Loves Gold</t>
  </si>
  <si>
    <t>WP166</t>
  </si>
  <si>
    <t>everyday I love you Black</t>
  </si>
  <si>
    <t>WP167</t>
  </si>
  <si>
    <t>everyday I love you white gold</t>
  </si>
  <si>
    <t>WP168</t>
  </si>
  <si>
    <t>Black Gold</t>
  </si>
  <si>
    <t>WP169</t>
  </si>
  <si>
    <t>White Gold</t>
  </si>
  <si>
    <t>WP170</t>
  </si>
  <si>
    <t>Daisy Pink</t>
  </si>
  <si>
    <t>WP171</t>
  </si>
  <si>
    <t>Daisy Biru</t>
  </si>
  <si>
    <t>WP172</t>
  </si>
  <si>
    <t>Daisy Soft Pink</t>
  </si>
  <si>
    <t>WP173</t>
  </si>
  <si>
    <t>Daisy Kuning</t>
  </si>
  <si>
    <t>WP174</t>
  </si>
  <si>
    <t>Daisy Ungu</t>
  </si>
  <si>
    <t>WP175</t>
  </si>
  <si>
    <t>Daisy Putih</t>
    <phoneticPr fontId="0" type="noConversion"/>
  </si>
  <si>
    <t>WP176</t>
  </si>
  <si>
    <t>Bi Color Hijau Oren</t>
  </si>
  <si>
    <t>WP177</t>
  </si>
  <si>
    <t>Bi Color Pink Cream</t>
  </si>
  <si>
    <t>WP178</t>
  </si>
  <si>
    <t>Bi Color Pink Pink</t>
  </si>
  <si>
    <t>WP179</t>
  </si>
  <si>
    <t>Bi Color Biru Biru</t>
  </si>
  <si>
    <t>WP180</t>
  </si>
  <si>
    <t>Romantic Love Floral Ungu</t>
  </si>
  <si>
    <t>30x50cm</t>
  </si>
  <si>
    <t>WP181</t>
  </si>
  <si>
    <t>Romantic Love Floral Kuning</t>
  </si>
  <si>
    <t>WP182</t>
  </si>
  <si>
    <t>Romantic Love Floral Biru</t>
  </si>
  <si>
    <t>WP183</t>
  </si>
  <si>
    <t>Romantic Love Floral Pink</t>
  </si>
  <si>
    <t>WP184</t>
  </si>
  <si>
    <t>Transparan Lace Hitam</t>
  </si>
  <si>
    <t>WP185</t>
  </si>
  <si>
    <t>Transparan Lace Hputih</t>
  </si>
  <si>
    <t>WP186</t>
  </si>
  <si>
    <t>Transparan Lace Pink</t>
  </si>
  <si>
    <t>WP187</t>
  </si>
  <si>
    <t>Transparan Lace Biru</t>
  </si>
  <si>
    <t>WP188</t>
  </si>
  <si>
    <t>Transparan Lace Ungu</t>
  </si>
  <si>
    <t>WP189</t>
  </si>
  <si>
    <t>Before Midnight Pink Peach</t>
  </si>
  <si>
    <t>WP190</t>
  </si>
  <si>
    <t>Before Midnight Pink Biru</t>
  </si>
  <si>
    <t>WP191</t>
  </si>
  <si>
    <t>Before Midnight Kuning Hijau</t>
  </si>
  <si>
    <t>WP192</t>
  </si>
  <si>
    <t>Before Midnight Peach Pink White</t>
    <phoneticPr fontId="0" type="noConversion"/>
  </si>
  <si>
    <t>WP193</t>
  </si>
  <si>
    <t>Before Midnight Pink Ungu</t>
  </si>
  <si>
    <t>WP194</t>
  </si>
  <si>
    <t>Before Midnight Peach Biru</t>
  </si>
  <si>
    <t>WP195</t>
  </si>
  <si>
    <t>Tekstur Bunga Putih</t>
  </si>
  <si>
    <t>53x40cm</t>
  </si>
  <si>
    <t>WP196</t>
  </si>
  <si>
    <t>Tekstur Bunga Kuning</t>
  </si>
  <si>
    <t>WP197</t>
  </si>
  <si>
    <t>Tekstur Bunga Hijau</t>
  </si>
  <si>
    <t>WP198</t>
  </si>
  <si>
    <t>Tekstur Bunga Nude</t>
  </si>
  <si>
    <t>WP199</t>
  </si>
  <si>
    <t>Tekstur Dot Putih</t>
  </si>
  <si>
    <t>WP200</t>
  </si>
  <si>
    <t>Tekstur Dot Hitam</t>
  </si>
  <si>
    <t>WP201</t>
  </si>
  <si>
    <t>Tekstur Dot Cream</t>
  </si>
  <si>
    <t>WP202</t>
  </si>
  <si>
    <t>Tekstur Dot Pink</t>
  </si>
  <si>
    <t>WP203</t>
  </si>
  <si>
    <t>Tekstur Dot Maroon</t>
  </si>
  <si>
    <t>WP204</t>
  </si>
  <si>
    <t>Tekstur Dot Biru</t>
  </si>
  <si>
    <t>WP205</t>
  </si>
  <si>
    <t>Tekstur Dot Navy</t>
  </si>
  <si>
    <t>WP206</t>
  </si>
  <si>
    <t>Polkadot Hitam</t>
  </si>
  <si>
    <t>WP207</t>
  </si>
  <si>
    <t>Polkadot Hijau</t>
  </si>
  <si>
    <t>WP208</t>
  </si>
  <si>
    <t>Polkadit Biru</t>
  </si>
  <si>
    <t>WP209</t>
  </si>
  <si>
    <t>Kotak Hitam</t>
  </si>
  <si>
    <t>WP210</t>
  </si>
  <si>
    <t>Kotak Merah</t>
  </si>
  <si>
    <t>WP211</t>
  </si>
  <si>
    <t>Kertas Buket motif  Love you merah</t>
  </si>
  <si>
    <t>57x57cm</t>
  </si>
  <si>
    <t>WP212</t>
  </si>
  <si>
    <t>Kertas Buket motif  Love you Abu</t>
  </si>
  <si>
    <t>WP213</t>
  </si>
  <si>
    <t>Kertas Buket motif  Love you Pink</t>
  </si>
  <si>
    <t>WP214</t>
  </si>
  <si>
    <t>Kertas Buket motif  old vintage Pink</t>
  </si>
  <si>
    <t>WP215</t>
  </si>
  <si>
    <t>Kertas Buket motif  old vintage Hijau</t>
  </si>
  <si>
    <t>WP216</t>
  </si>
  <si>
    <t>Kertas Buket motif  old vintage Merah</t>
  </si>
  <si>
    <t>WP217</t>
  </si>
  <si>
    <t>Kertas Buket motif  old vintage Hitam</t>
  </si>
  <si>
    <t>WP218</t>
  </si>
  <si>
    <t>Kertas Buket Motif Bunga Pink</t>
  </si>
  <si>
    <t>WP219</t>
  </si>
  <si>
    <t>Kertas Buket Motif Bunga Abu / HIIJAU</t>
    <phoneticPr fontId="0" type="noConversion"/>
  </si>
  <si>
    <t>WP220</t>
  </si>
  <si>
    <t>Kertas Buket Motif Bunga Merah</t>
  </si>
  <si>
    <t>WP221</t>
  </si>
  <si>
    <t>Kertas Buket Motif Bunga Hijau</t>
  </si>
  <si>
    <t>WP222</t>
  </si>
  <si>
    <t>Vintage milktea</t>
  </si>
  <si>
    <t>WP223</t>
    <phoneticPr fontId="0" type="noConversion"/>
  </si>
  <si>
    <t>Kertas Buket Romantic White</t>
  </si>
  <si>
    <t>WP224</t>
    <phoneticPr fontId="0" type="noConversion"/>
  </si>
  <si>
    <t>Kertas Buket Romantic Black</t>
    <phoneticPr fontId="0" type="noConversion"/>
  </si>
  <si>
    <t>WP225</t>
  </si>
  <si>
    <t>Kertas Background Romantic Floral</t>
    <phoneticPr fontId="0" type="noConversion"/>
  </si>
  <si>
    <t>WP226</t>
  </si>
  <si>
    <t>Kertas Background Buket Romantic</t>
  </si>
  <si>
    <t>WP227</t>
    <phoneticPr fontId="0" type="noConversion"/>
  </si>
  <si>
    <t>WP228</t>
  </si>
  <si>
    <t>Kertas Sydney Biru</t>
  </si>
  <si>
    <t>50x70cm</t>
  </si>
  <si>
    <t>WP229</t>
  </si>
  <si>
    <t>Kertas Sydney Pink</t>
  </si>
  <si>
    <t>WP230</t>
  </si>
  <si>
    <t>Kertas Sydney Putih</t>
  </si>
  <si>
    <t>WP231</t>
  </si>
  <si>
    <t>Kertas Sydney Kuning</t>
  </si>
  <si>
    <t>WP232</t>
  </si>
  <si>
    <t>Kertas Sydney Ungu</t>
  </si>
  <si>
    <t>WP234</t>
    <phoneticPr fontId="0" type="noConversion"/>
  </si>
  <si>
    <t>Maroon Goldlace</t>
  </si>
  <si>
    <t>WP235</t>
  </si>
  <si>
    <t>Navy polos</t>
  </si>
  <si>
    <t>WP236</t>
  </si>
  <si>
    <t>Background Flowers Pink</t>
  </si>
  <si>
    <t>WP237</t>
  </si>
  <si>
    <t>Background Flowers Kuning</t>
  </si>
  <si>
    <t>WP238</t>
  </si>
  <si>
    <t>Background Flowers Vintage</t>
  </si>
  <si>
    <t>WP239</t>
  </si>
  <si>
    <t>Background Flowers Biru</t>
  </si>
  <si>
    <t>WP240</t>
  </si>
  <si>
    <t>Background Sweet &amp; Gentle</t>
  </si>
  <si>
    <t>38x53cm</t>
  </si>
  <si>
    <t>WP241</t>
  </si>
  <si>
    <t>Hologram Putih</t>
  </si>
  <si>
    <t>60x60cm</t>
  </si>
  <si>
    <t>WP242</t>
  </si>
  <si>
    <t>Hologram Oren</t>
  </si>
  <si>
    <t>WP243</t>
  </si>
  <si>
    <t>Hologram Biru</t>
  </si>
  <si>
    <t>WP244</t>
  </si>
  <si>
    <t>Hologram Pink</t>
  </si>
  <si>
    <t>WP245</t>
  </si>
  <si>
    <t>Valentine Love Merah</t>
  </si>
  <si>
    <t>WP246</t>
  </si>
  <si>
    <t>Valentine Love Pink</t>
  </si>
  <si>
    <t>WP247</t>
  </si>
  <si>
    <t>Fall in Love Pink</t>
  </si>
  <si>
    <t>WP248</t>
  </si>
  <si>
    <t>Fall in Love Maroon</t>
  </si>
  <si>
    <t>WP249</t>
  </si>
  <si>
    <t>Single Daisy Merah</t>
  </si>
  <si>
    <t>15lbr/pack</t>
  </si>
  <si>
    <t>26x50cm</t>
  </si>
  <si>
    <t>WP250</t>
  </si>
  <si>
    <t>Single Daisy Pink</t>
  </si>
  <si>
    <t>WP251</t>
  </si>
  <si>
    <t>Single Daisy Cream</t>
  </si>
  <si>
    <t>WP252</t>
  </si>
  <si>
    <t>Kertas Daur Ulang Putih</t>
  </si>
  <si>
    <t>5lbr/pack</t>
  </si>
  <si>
    <t>55x40cm</t>
  </si>
  <si>
    <t>WP253</t>
  </si>
  <si>
    <t>Kertas Daur Ulang Pink</t>
  </si>
  <si>
    <t>WP254</t>
  </si>
  <si>
    <t>Love with you</t>
  </si>
  <si>
    <t>WP255</t>
  </si>
  <si>
    <t>Background Love Hitam</t>
  </si>
  <si>
    <t>38x50cm</t>
  </si>
  <si>
    <t>WP256</t>
  </si>
  <si>
    <t>Single LOVE Maroon</t>
  </si>
  <si>
    <t>15x45cm</t>
  </si>
  <si>
    <t>WP257</t>
  </si>
  <si>
    <t>Single LOVE Pink</t>
  </si>
  <si>
    <t>WP258</t>
  </si>
  <si>
    <t>Single LOVE Hitam Opp</t>
  </si>
  <si>
    <t>WP259</t>
  </si>
  <si>
    <t>Single LOVE Putih Opp</t>
  </si>
  <si>
    <t>WP260</t>
  </si>
  <si>
    <t>Floral Red Gold</t>
  </si>
  <si>
    <t>WP261</t>
  </si>
  <si>
    <t>Roll Floral Hijau</t>
  </si>
  <si>
    <t>1roll</t>
  </si>
  <si>
    <t>50cm x 5m</t>
  </si>
  <si>
    <t>WP262</t>
  </si>
  <si>
    <t>Roll Floral Peach Putih</t>
  </si>
  <si>
    <t>WP263</t>
  </si>
  <si>
    <t>Roll Floral Pink</t>
  </si>
  <si>
    <t>WP264</t>
  </si>
  <si>
    <t>Red Gold 生意兴隆</t>
  </si>
  <si>
    <t>WP265</t>
  </si>
  <si>
    <t>Red Gold 开业大吉</t>
  </si>
  <si>
    <t>WP266</t>
  </si>
  <si>
    <t>Merah Maroon Double Side</t>
  </si>
  <si>
    <t>WP267</t>
  </si>
  <si>
    <t>Background Double Romantic Love</t>
  </si>
  <si>
    <t>30x45cm</t>
  </si>
  <si>
    <t>WP268</t>
  </si>
  <si>
    <t>Background Love You</t>
  </si>
  <si>
    <t>38 x 54cm</t>
  </si>
  <si>
    <t>WP269</t>
  </si>
  <si>
    <t>Inner Layer Dot merah</t>
  </si>
  <si>
    <t>30 x 75cm</t>
  </si>
  <si>
    <t>WP270</t>
    <phoneticPr fontId="0" type="noConversion"/>
  </si>
  <si>
    <t>Soft Blue Pekat</t>
    <phoneticPr fontId="0" type="noConversion"/>
  </si>
  <si>
    <t>WP271</t>
    <phoneticPr fontId="0" type="noConversion"/>
  </si>
  <si>
    <t>Phoenix Pink</t>
    <phoneticPr fontId="0" type="noConversion"/>
  </si>
  <si>
    <t>10 lembar/pack (Tebal)</t>
    <phoneticPr fontId="0" type="noConversion"/>
  </si>
  <si>
    <t>WP272</t>
    <phoneticPr fontId="0" type="noConversion"/>
  </si>
  <si>
    <t>Phoenix Biru</t>
    <phoneticPr fontId="0" type="noConversion"/>
  </si>
  <si>
    <t>WP273</t>
    <phoneticPr fontId="0" type="noConversion"/>
  </si>
  <si>
    <t>Phoenix Biru Pink</t>
    <phoneticPr fontId="0" type="noConversion"/>
  </si>
  <si>
    <t>WP274</t>
    <phoneticPr fontId="0" type="noConversion"/>
  </si>
  <si>
    <t>Ice Cream Roll Coklat</t>
    <phoneticPr fontId="0" type="noConversion"/>
  </si>
  <si>
    <t>5 lembar / pack (Tebal)</t>
    <phoneticPr fontId="0" type="noConversion"/>
  </si>
  <si>
    <t>WP275</t>
    <phoneticPr fontId="0" type="noConversion"/>
  </si>
  <si>
    <t>Kertas tebal putih feather</t>
    <phoneticPr fontId="0" type="noConversion"/>
  </si>
  <si>
    <t>WP276</t>
  </si>
  <si>
    <t>WP277</t>
  </si>
  <si>
    <t>WP278</t>
  </si>
  <si>
    <t>WP279</t>
  </si>
  <si>
    <t>WP280</t>
  </si>
  <si>
    <t>WP281</t>
  </si>
  <si>
    <t>罗兰七夕爱 Blue</t>
  </si>
  <si>
    <t>WP282</t>
  </si>
  <si>
    <t>罗兰七夕爱 Yellow</t>
  </si>
  <si>
    <t>WP283</t>
  </si>
  <si>
    <t>罗兰七夕爱 Pink</t>
  </si>
  <si>
    <t>WP284</t>
  </si>
  <si>
    <t>Sydney Cream Rose Pink</t>
  </si>
  <si>
    <t>WP285</t>
  </si>
  <si>
    <t>Sydney Putih Rose Pink</t>
  </si>
  <si>
    <t>WP286</t>
  </si>
  <si>
    <t>Background Lovelove</t>
  </si>
  <si>
    <t>WP287</t>
  </si>
  <si>
    <t>Double Side Background love</t>
  </si>
  <si>
    <t>WP288</t>
  </si>
  <si>
    <t>Double Side background Floral Studio</t>
  </si>
  <si>
    <t>WP289</t>
  </si>
  <si>
    <t>white out white</t>
  </si>
  <si>
    <t>WP290</t>
  </si>
  <si>
    <t>nude polos</t>
  </si>
  <si>
    <t>WP291</t>
  </si>
  <si>
    <t>Merah Pekat</t>
  </si>
  <si>
    <t>WP292</t>
  </si>
  <si>
    <t>WP293</t>
  </si>
  <si>
    <t>WP300</t>
    <phoneticPr fontId="0" type="noConversion"/>
  </si>
  <si>
    <t>Hologram Transparan Roll</t>
    <phoneticPr fontId="0" type="noConversion"/>
  </si>
  <si>
    <t>1 roll</t>
    <phoneticPr fontId="0" type="noConversion"/>
  </si>
  <si>
    <t>WP301</t>
    <phoneticPr fontId="0" type="noConversion"/>
  </si>
  <si>
    <t>Inner Wisuda Biru</t>
    <phoneticPr fontId="0" type="noConversion"/>
  </si>
  <si>
    <t>5 lembar / pack</t>
    <phoneticPr fontId="0" type="noConversion"/>
  </si>
  <si>
    <t>WP302</t>
    <phoneticPr fontId="0" type="noConversion"/>
  </si>
  <si>
    <t>Inner Wisuda Kuning</t>
    <phoneticPr fontId="0" type="noConversion"/>
  </si>
  <si>
    <t>WP303</t>
    <phoneticPr fontId="0" type="noConversion"/>
  </si>
  <si>
    <t>OPP Bening Roll</t>
    <phoneticPr fontId="0" type="noConversion"/>
  </si>
  <si>
    <t>1 roll 50 meter</t>
    <phoneticPr fontId="0" type="noConversion"/>
  </si>
  <si>
    <t>WP304</t>
    <phoneticPr fontId="0" type="noConversion"/>
  </si>
  <si>
    <t>White out White</t>
    <phoneticPr fontId="0" type="noConversion"/>
  </si>
  <si>
    <t>WP305</t>
    <phoneticPr fontId="0" type="noConversion"/>
  </si>
  <si>
    <t>Peach Polos</t>
    <phoneticPr fontId="0" type="noConversion"/>
  </si>
  <si>
    <t>WP306</t>
    <phoneticPr fontId="0" type="noConversion"/>
  </si>
  <si>
    <t>Kertas Sydney white cherry pink</t>
    <phoneticPr fontId="0" type="noConversion"/>
  </si>
  <si>
    <t>WP307</t>
    <phoneticPr fontId="0" type="noConversion"/>
  </si>
  <si>
    <t>Kertas Sydney cream cherry pink</t>
    <phoneticPr fontId="0" type="noConversion"/>
  </si>
  <si>
    <t>WP308</t>
    <phoneticPr fontId="0" type="noConversion"/>
  </si>
  <si>
    <t>Kertas background motif love</t>
    <phoneticPr fontId="0" type="noConversion"/>
  </si>
  <si>
    <t>WP309</t>
    <phoneticPr fontId="0" type="noConversion"/>
  </si>
  <si>
    <t>Kertas background motif couple</t>
    <phoneticPr fontId="0" type="noConversion"/>
  </si>
  <si>
    <t>KL1</t>
    <phoneticPr fontId="0" type="noConversion"/>
  </si>
  <si>
    <t>korean laces</t>
  </si>
  <si>
    <t>3,2m</t>
  </si>
  <si>
    <t>KL2</t>
  </si>
  <si>
    <t>korean rubber</t>
  </si>
  <si>
    <t>1m</t>
  </si>
  <si>
    <t>KL3</t>
  </si>
  <si>
    <t>Korean laces - mutiara PINK</t>
    <phoneticPr fontId="0" type="noConversion"/>
  </si>
  <si>
    <t>1Pack</t>
  </si>
  <si>
    <t>28cm x 3.2m</t>
  </si>
  <si>
    <t>KL4</t>
  </si>
  <si>
    <t>Korean laces - mutiara White</t>
    <phoneticPr fontId="0" type="noConversion"/>
  </si>
  <si>
    <t>TP1</t>
    <phoneticPr fontId="0" type="noConversion"/>
  </si>
  <si>
    <t>kertas tisu putih</t>
  </si>
  <si>
    <t>40lbr/pack</t>
    <phoneticPr fontId="0" type="noConversion"/>
  </si>
  <si>
    <t>30x30cm</t>
  </si>
  <si>
    <t>TP2</t>
  </si>
  <si>
    <t>kertas tiSu merah</t>
    <phoneticPr fontId="0" type="noConversion"/>
  </si>
  <si>
    <t>TP3</t>
  </si>
  <si>
    <t>kertas tisu pink</t>
  </si>
  <si>
    <t>TP4</t>
  </si>
  <si>
    <t>kertas tisu hitam</t>
  </si>
  <si>
    <t>TP5</t>
    <phoneticPr fontId="0" type="noConversion"/>
  </si>
  <si>
    <t>Kertas Tisu Cream</t>
    <phoneticPr fontId="0" type="noConversion"/>
  </si>
  <si>
    <t>TP6</t>
    <phoneticPr fontId="0" type="noConversion"/>
  </si>
  <si>
    <t xml:space="preserve">Kertas Tisu Kuning </t>
    <phoneticPr fontId="0" type="noConversion"/>
  </si>
  <si>
    <t>TP7</t>
    <phoneticPr fontId="0" type="noConversion"/>
  </si>
  <si>
    <t>Kertas Tisu Fanta</t>
    <phoneticPr fontId="0" type="noConversion"/>
  </si>
  <si>
    <t>GS1</t>
    <phoneticPr fontId="0" type="noConversion"/>
  </si>
  <si>
    <t>greeting stick</t>
  </si>
  <si>
    <t>10stick/pack</t>
  </si>
  <si>
    <t>KR1</t>
    <phoneticPr fontId="0" type="noConversion"/>
  </si>
  <si>
    <t>pita fav pink</t>
  </si>
  <si>
    <t>10m/ roll</t>
  </si>
  <si>
    <t>KR2</t>
    <phoneticPr fontId="0" type="noConversion"/>
  </si>
  <si>
    <t>pita fav putih</t>
    <phoneticPr fontId="0" type="noConversion"/>
  </si>
  <si>
    <t>KR3</t>
    <phoneticPr fontId="0" type="noConversion"/>
  </si>
  <si>
    <t>pita fav ungu</t>
  </si>
  <si>
    <t>KR15</t>
    <phoneticPr fontId="0" type="noConversion"/>
  </si>
  <si>
    <t>Pita Fav Maroon</t>
    <phoneticPr fontId="0" type="noConversion"/>
  </si>
  <si>
    <t>KR4</t>
  </si>
  <si>
    <t>Pita Kain Cream - 4cm</t>
    <phoneticPr fontId="0" type="noConversion"/>
  </si>
  <si>
    <t>KR5</t>
  </si>
  <si>
    <t>Pita Kain Red - 4cm</t>
    <phoneticPr fontId="0" type="noConversion"/>
  </si>
  <si>
    <t>KR6</t>
  </si>
  <si>
    <t>Pita Kain Pink - 4cm</t>
    <phoneticPr fontId="0" type="noConversion"/>
  </si>
  <si>
    <t>KR7</t>
  </si>
  <si>
    <t>Pita Kain Khaki - 4cm</t>
    <phoneticPr fontId="0" type="noConversion"/>
  </si>
  <si>
    <t>KR8</t>
    <phoneticPr fontId="0" type="noConversion"/>
  </si>
  <si>
    <t>Pita Kain Kuning - 4cm</t>
    <phoneticPr fontId="0" type="noConversion"/>
  </si>
  <si>
    <t>KR9</t>
  </si>
  <si>
    <t>Pita Kain Putih - 4cm</t>
    <phoneticPr fontId="0" type="noConversion"/>
  </si>
  <si>
    <t>kr16</t>
    <phoneticPr fontId="0" type="noConversion"/>
  </si>
  <si>
    <t>Pita Kain Putih Cream 2.5cm</t>
  </si>
  <si>
    <t>KR17</t>
    <phoneticPr fontId="0" type="noConversion"/>
  </si>
  <si>
    <t>Pita Kain Maroon 2.5cm</t>
  </si>
  <si>
    <t>KR18</t>
    <phoneticPr fontId="0" type="noConversion"/>
  </si>
  <si>
    <t>Pita Kain Pink 2.5cm</t>
  </si>
  <si>
    <t>KR10</t>
  </si>
  <si>
    <t>Pita Renda - Putih</t>
    <phoneticPr fontId="0" type="noConversion"/>
  </si>
  <si>
    <t>3cm x 40m</t>
  </si>
  <si>
    <t>KR11</t>
  </si>
  <si>
    <t>Pita Renda - Merah</t>
    <phoneticPr fontId="0" type="noConversion"/>
  </si>
  <si>
    <t>KR12</t>
    <phoneticPr fontId="0" type="noConversion"/>
  </si>
  <si>
    <t>Pita Renda - Pink</t>
    <phoneticPr fontId="0" type="noConversion"/>
  </si>
  <si>
    <t>KR13</t>
    <phoneticPr fontId="0" type="noConversion"/>
  </si>
  <si>
    <t>Pita Kain Khaki 2.5cm</t>
    <phoneticPr fontId="0" type="noConversion"/>
  </si>
  <si>
    <t>10m/ roll</t>
    <phoneticPr fontId="0" type="noConversion"/>
  </si>
  <si>
    <t>KR14</t>
    <phoneticPr fontId="0" type="noConversion"/>
  </si>
  <si>
    <t>Pita Fave Merah</t>
    <phoneticPr fontId="0" type="noConversion"/>
  </si>
  <si>
    <t>PS1</t>
  </si>
  <si>
    <t>Pita Satin 4cm - Blue</t>
    <phoneticPr fontId="0" type="noConversion"/>
  </si>
  <si>
    <t>4cm x 22m</t>
  </si>
  <si>
    <t>PS2</t>
  </si>
  <si>
    <t>Pita Satin 4cm - Black</t>
    <phoneticPr fontId="0" type="noConversion"/>
  </si>
  <si>
    <t>PS3</t>
  </si>
  <si>
    <t>Pita Satin 4cm - White</t>
    <phoneticPr fontId="0" type="noConversion"/>
  </si>
  <si>
    <t>PS4</t>
  </si>
  <si>
    <t>Pita Satin 4cm - Fanta</t>
    <phoneticPr fontId="0" type="noConversion"/>
  </si>
  <si>
    <t>PS5</t>
  </si>
  <si>
    <t>Pita Satin 4cm - Pink</t>
    <phoneticPr fontId="0" type="noConversion"/>
  </si>
  <si>
    <t>PS6</t>
  </si>
  <si>
    <t>Pita Satin 4cm - Merah</t>
    <phoneticPr fontId="0" type="noConversion"/>
  </si>
  <si>
    <t>PS7</t>
  </si>
  <si>
    <t>Pita Satin 4cm - Gold</t>
    <phoneticPr fontId="0" type="noConversion"/>
  </si>
  <si>
    <t>PS8</t>
  </si>
  <si>
    <t>Pita Satin 4cm - Brown</t>
    <phoneticPr fontId="0" type="noConversion"/>
  </si>
  <si>
    <t>PS9</t>
  </si>
  <si>
    <t>Pita Satin 1.2cm - Black</t>
    <phoneticPr fontId="0" type="noConversion"/>
  </si>
  <si>
    <t>1.2cm x 22m</t>
  </si>
  <si>
    <t>PS10</t>
  </si>
  <si>
    <t>Pita Satin 1.2cm - White</t>
    <phoneticPr fontId="0" type="noConversion"/>
  </si>
  <si>
    <t>PS11</t>
  </si>
  <si>
    <t>Pita Satin 1.2cm - Red</t>
    <phoneticPr fontId="0" type="noConversion"/>
  </si>
  <si>
    <t>PS12</t>
  </si>
  <si>
    <t>Pita Satin 1.2cm - dark pink</t>
    <phoneticPr fontId="0" type="noConversion"/>
  </si>
  <si>
    <t>PS13</t>
  </si>
  <si>
    <t>Pita Satin 1.2cm - Soft Pink</t>
    <phoneticPr fontId="0" type="noConversion"/>
  </si>
  <si>
    <t>PS14</t>
  </si>
  <si>
    <t>Pita Satin 1.2cm - Purple</t>
    <phoneticPr fontId="0" type="noConversion"/>
  </si>
  <si>
    <t>PS15</t>
  </si>
  <si>
    <t>Pita Satin 1.2cm - Pink Fanta</t>
    <phoneticPr fontId="0" type="noConversion"/>
  </si>
  <si>
    <t>PS16</t>
  </si>
  <si>
    <t>Pita Satin 1.2cm - cream</t>
    <phoneticPr fontId="0" type="noConversion"/>
  </si>
  <si>
    <t>PS17</t>
  </si>
  <si>
    <t>Pita Satin 1.2cm - Peach</t>
    <phoneticPr fontId="0" type="noConversion"/>
  </si>
  <si>
    <t>PS18</t>
  </si>
  <si>
    <t>Pita Love is Eternal Putih</t>
  </si>
  <si>
    <t>2.5cm x 40m</t>
  </si>
  <si>
    <t>PS19</t>
  </si>
  <si>
    <t>Pita Love is Eternal Hitam</t>
  </si>
  <si>
    <t>PS20</t>
    <phoneticPr fontId="0" type="noConversion"/>
  </si>
  <si>
    <t>Pita Satin 1cm- Biru</t>
    <phoneticPr fontId="0" type="noConversion"/>
  </si>
  <si>
    <t>1 roll 100 yard</t>
    <phoneticPr fontId="0" type="noConversion"/>
  </si>
  <si>
    <t>PS21</t>
    <phoneticPr fontId="0" type="noConversion"/>
  </si>
  <si>
    <t>Pita Satin 1cm- pink</t>
    <phoneticPr fontId="0" type="noConversion"/>
  </si>
  <si>
    <t>ST1</t>
    <phoneticPr fontId="0" type="noConversion"/>
  </si>
  <si>
    <t>CaiShen</t>
  </si>
  <si>
    <t>1Set</t>
  </si>
  <si>
    <t>ST2</t>
    <phoneticPr fontId="0" type="noConversion"/>
  </si>
  <si>
    <t>Love led</t>
    <phoneticPr fontId="0" type="noConversion"/>
  </si>
  <si>
    <t>1 pcs</t>
    <phoneticPr fontId="0" type="noConversion"/>
  </si>
  <si>
    <t>ST3</t>
  </si>
  <si>
    <t>Red Fan</t>
    <phoneticPr fontId="0" type="noConversion"/>
  </si>
  <si>
    <t>14 x 10 cm</t>
    <phoneticPr fontId="0" type="noConversion"/>
  </si>
  <si>
    <t>ST4</t>
  </si>
  <si>
    <t>Round Red Fan</t>
    <phoneticPr fontId="0" type="noConversion"/>
  </si>
  <si>
    <t>40, 30, 20 cm</t>
    <phoneticPr fontId="0" type="noConversion"/>
  </si>
  <si>
    <t>ST5</t>
  </si>
  <si>
    <t>Red Chinese Fan</t>
  </si>
  <si>
    <t>10pcs</t>
  </si>
  <si>
    <t>ST6</t>
  </si>
  <si>
    <t>Hang Fan</t>
    <phoneticPr fontId="0" type="noConversion"/>
  </si>
  <si>
    <t>6 pcs/pack</t>
    <phoneticPr fontId="0" type="noConversion"/>
  </si>
  <si>
    <t>ST7</t>
  </si>
  <si>
    <t>Hang Cat</t>
    <phoneticPr fontId="0" type="noConversion"/>
  </si>
  <si>
    <t>5 pcs/pack</t>
    <phoneticPr fontId="0" type="noConversion"/>
  </si>
  <si>
    <t>ST8</t>
  </si>
  <si>
    <t>Pearl Ribbon</t>
    <phoneticPr fontId="0" type="noConversion"/>
  </si>
  <si>
    <t>8-10cm</t>
    <phoneticPr fontId="0" type="noConversion"/>
  </si>
  <si>
    <t>ST9</t>
  </si>
  <si>
    <t>GREEN TAPE</t>
    <phoneticPr fontId="0" type="noConversion"/>
  </si>
  <si>
    <t>12 pcs/pack</t>
    <phoneticPr fontId="0" type="noConversion"/>
  </si>
  <si>
    <t>ST10</t>
  </si>
  <si>
    <t>Round Red Fan isi 3 pcs</t>
    <phoneticPr fontId="0" type="noConversion"/>
  </si>
  <si>
    <t>3pcs/ Pack</t>
  </si>
  <si>
    <t>15 Dm</t>
  </si>
  <si>
    <t>ST11</t>
    <phoneticPr fontId="0" type="noConversion"/>
  </si>
  <si>
    <t>Kawat Silver</t>
    <phoneticPr fontId="0" type="noConversion"/>
  </si>
  <si>
    <t>300mr</t>
  </si>
  <si>
    <t>ST12</t>
  </si>
  <si>
    <t>Gunting Bunga</t>
    <phoneticPr fontId="0" type="noConversion"/>
  </si>
  <si>
    <t>1pcs</t>
  </si>
  <si>
    <t>16.5cm x 10cm</t>
  </si>
  <si>
    <t>ST13</t>
    <phoneticPr fontId="0" type="noConversion"/>
  </si>
  <si>
    <t>Cream Chinese Fan</t>
  </si>
  <si>
    <t>ST14</t>
  </si>
  <si>
    <t>LED Light</t>
  </si>
  <si>
    <t>ST15</t>
  </si>
  <si>
    <t>Greeting 开业大吉</t>
  </si>
  <si>
    <t>ST16</t>
  </si>
  <si>
    <t>Greeting生意兴隆</t>
  </si>
  <si>
    <t>ST17</t>
    <phoneticPr fontId="0" type="noConversion"/>
  </si>
  <si>
    <t>KIPAS PING AN XI LE</t>
    <phoneticPr fontId="0" type="noConversion"/>
  </si>
  <si>
    <t>SPF1</t>
  </si>
  <si>
    <t>RedRose</t>
  </si>
  <si>
    <t>4-5cm</t>
  </si>
  <si>
    <t>SPF2</t>
  </si>
  <si>
    <t>SakuraPinkRose</t>
  </si>
  <si>
    <t>SPF3</t>
  </si>
  <si>
    <t>FantaRose</t>
  </si>
  <si>
    <t>SPF5</t>
    <phoneticPr fontId="0" type="noConversion"/>
  </si>
  <si>
    <t>WhiteRose</t>
  </si>
  <si>
    <t>SPF4</t>
    <phoneticPr fontId="0" type="noConversion"/>
  </si>
  <si>
    <t>BlueRose</t>
  </si>
  <si>
    <t>SPF6</t>
  </si>
  <si>
    <t>SoftPurpleRose</t>
  </si>
  <si>
    <t>SPF7</t>
  </si>
  <si>
    <t>PinkSideWhiteAustin</t>
  </si>
  <si>
    <t>SPF8</t>
  </si>
  <si>
    <t>DoubleBlueAustin</t>
  </si>
  <si>
    <t>SPF9</t>
  </si>
  <si>
    <t>LightPinkSideWhiteAustin</t>
  </si>
  <si>
    <t>SPF10</t>
  </si>
  <si>
    <t>SakuraPinkAustin</t>
  </si>
  <si>
    <t>SPF11</t>
  </si>
  <si>
    <t>3HeadSunnyFlower</t>
  </si>
  <si>
    <t>5-6cm</t>
  </si>
  <si>
    <t>SPF12</t>
  </si>
  <si>
    <t>1HeadSunnyFlower</t>
  </si>
  <si>
    <t>9-10cm</t>
  </si>
  <si>
    <t>SPF13</t>
  </si>
  <si>
    <t>BlueCarnation</t>
  </si>
  <si>
    <t>SPF14</t>
  </si>
  <si>
    <t>PinkCarnation</t>
  </si>
  <si>
    <t>SPF15</t>
  </si>
  <si>
    <t>CreamCarnation</t>
  </si>
  <si>
    <t>SPF16</t>
  </si>
  <si>
    <t>LightPinkSunnyFlower</t>
  </si>
  <si>
    <t>SPF17</t>
  </si>
  <si>
    <t>PinkSunnyflower</t>
  </si>
  <si>
    <t>SPF18</t>
  </si>
  <si>
    <t>YellowSmallSunnyFlower</t>
  </si>
  <si>
    <t>SPF19</t>
  </si>
  <si>
    <t>Small Rose Sweet Pink</t>
    <phoneticPr fontId="0" type="noConversion"/>
  </si>
  <si>
    <t>2-3cm</t>
  </si>
  <si>
    <t>SPF20</t>
  </si>
  <si>
    <t>Small Rose Soft Pink</t>
    <phoneticPr fontId="0" type="noConversion"/>
  </si>
  <si>
    <t>SPF21</t>
  </si>
  <si>
    <t>Small Rose White</t>
  </si>
  <si>
    <t>SPF22</t>
  </si>
  <si>
    <t>Rose Capuccino</t>
  </si>
  <si>
    <t>SPF23</t>
  </si>
  <si>
    <t>Rose Champagne</t>
  </si>
  <si>
    <t>SPF24</t>
  </si>
  <si>
    <t>LightPink Carnation</t>
  </si>
  <si>
    <t>SPF25</t>
  </si>
  <si>
    <t>Rose Sweet Pink</t>
  </si>
  <si>
    <t>SPF26</t>
    <phoneticPr fontId="0" type="noConversion"/>
  </si>
  <si>
    <t>Preserved Rose Hitam</t>
    <phoneticPr fontId="0" type="noConversion"/>
  </si>
  <si>
    <t>SPF27</t>
    <phoneticPr fontId="0" type="noConversion"/>
  </si>
  <si>
    <t>Small Rose Cappucino</t>
    <phoneticPr fontId="0" type="noConversion"/>
  </si>
  <si>
    <t>LC1</t>
    <phoneticPr fontId="0" type="noConversion"/>
  </si>
  <si>
    <r>
      <rPr>
        <sz val="12"/>
        <rFont val="等线"/>
        <family val="2"/>
      </rPr>
      <t>生意兴隆</t>
    </r>
    <r>
      <rPr>
        <sz val="12"/>
        <rFont val="Times New Roman"/>
        <family val="1"/>
      </rPr>
      <t xml:space="preserve"> - MERAH 1</t>
    </r>
  </si>
  <si>
    <t>20x15x23cm</t>
  </si>
  <si>
    <t>LC2</t>
    <phoneticPr fontId="0" type="noConversion"/>
  </si>
  <si>
    <r>
      <rPr>
        <sz val="12"/>
        <rFont val="等线"/>
        <family val="2"/>
      </rPr>
      <t>财运滚滚</t>
    </r>
    <r>
      <rPr>
        <sz val="12"/>
        <rFont val="Times New Roman"/>
        <family val="1"/>
      </rPr>
      <t xml:space="preserve"> - OREN</t>
    </r>
  </si>
  <si>
    <t>LC3</t>
    <phoneticPr fontId="0" type="noConversion"/>
  </si>
  <si>
    <r>
      <rPr>
        <sz val="12"/>
        <rFont val="等线"/>
        <family val="2"/>
      </rPr>
      <t>幸福满堂</t>
    </r>
    <r>
      <rPr>
        <sz val="12"/>
        <rFont val="Times New Roman"/>
        <family val="1"/>
      </rPr>
      <t xml:space="preserve"> - PINK</t>
    </r>
  </si>
  <si>
    <t>LC4</t>
    <phoneticPr fontId="0" type="noConversion"/>
  </si>
  <si>
    <r>
      <rPr>
        <sz val="12"/>
        <rFont val="等线"/>
        <family val="2"/>
      </rPr>
      <t>大吉大利</t>
    </r>
    <r>
      <rPr>
        <sz val="12"/>
        <rFont val="Times New Roman"/>
        <family val="1"/>
      </rPr>
      <t xml:space="preserve"> - MERAH 2</t>
    </r>
  </si>
  <si>
    <t>LC5</t>
    <phoneticPr fontId="0" type="noConversion"/>
  </si>
  <si>
    <r>
      <rPr>
        <sz val="12"/>
        <rFont val="等线"/>
        <family val="2"/>
      </rPr>
      <t>Manekineko 风生水起</t>
    </r>
    <r>
      <rPr>
        <sz val="12"/>
        <rFont val="Times New Roman"/>
        <family val="1"/>
      </rPr>
      <t xml:space="preserve"> - Merah</t>
    </r>
  </si>
  <si>
    <t>26x22x15cm</t>
    <phoneticPr fontId="0" type="noConversion"/>
  </si>
  <si>
    <t>LC6</t>
    <phoneticPr fontId="0" type="noConversion"/>
  </si>
  <si>
    <r>
      <t xml:space="preserve">manekineko </t>
    </r>
    <r>
      <rPr>
        <sz val="12"/>
        <rFont val="等线"/>
        <family val="2"/>
      </rPr>
      <t>八方来财</t>
    </r>
    <r>
      <rPr>
        <sz val="12"/>
        <rFont val="Times New Roman"/>
        <family val="1"/>
      </rPr>
      <t xml:space="preserve"> - Kuning</t>
    </r>
  </si>
  <si>
    <t>26x22x15cm</t>
  </si>
  <si>
    <t>LC7</t>
    <phoneticPr fontId="0" type="noConversion"/>
  </si>
  <si>
    <t>Lucky Cat - BIRU</t>
    <phoneticPr fontId="0" type="noConversion"/>
  </si>
  <si>
    <t>H1</t>
    <phoneticPr fontId="0" type="noConversion"/>
  </si>
  <si>
    <t>Hydrangea Putih</t>
    <phoneticPr fontId="0" type="noConversion"/>
  </si>
  <si>
    <t>1 pack</t>
    <phoneticPr fontId="0" type="noConversion"/>
  </si>
  <si>
    <t>50 gram</t>
    <phoneticPr fontId="0" type="noConversion"/>
  </si>
  <si>
    <t>H2</t>
  </si>
  <si>
    <t>Hydrangea Pink</t>
    <phoneticPr fontId="0" type="noConversion"/>
  </si>
  <si>
    <t>H3</t>
  </si>
  <si>
    <t>Hydrangea Merah</t>
    <phoneticPr fontId="0" type="noConversion"/>
  </si>
  <si>
    <t>H4</t>
  </si>
  <si>
    <t>Hydrangea Biru</t>
    <phoneticPr fontId="0" type="noConversion"/>
  </si>
  <si>
    <t>H5</t>
    <phoneticPr fontId="0" type="noConversion"/>
  </si>
  <si>
    <t>Hydrangea Ungu</t>
    <phoneticPr fontId="0" type="noConversion"/>
  </si>
  <si>
    <t>H6</t>
    <phoneticPr fontId="0" type="noConversion"/>
  </si>
  <si>
    <t>Hydarangea Champagne</t>
    <phoneticPr fontId="0" type="noConversion"/>
  </si>
  <si>
    <t>H7</t>
    <phoneticPr fontId="0" type="noConversion"/>
  </si>
  <si>
    <t>Hydarangea Rustic</t>
    <phoneticPr fontId="0" type="noConversion"/>
  </si>
  <si>
    <t>H8</t>
    <phoneticPr fontId="0" type="noConversion"/>
  </si>
  <si>
    <t>Hydarangea Kuning</t>
    <phoneticPr fontId="0" type="noConversion"/>
  </si>
  <si>
    <t>H9</t>
    <phoneticPr fontId="0" type="noConversion"/>
  </si>
  <si>
    <t>Hydrangea - Hijau</t>
    <phoneticPr fontId="0" type="noConversion"/>
  </si>
  <si>
    <t>BB1</t>
    <phoneticPr fontId="0" type="noConversion"/>
  </si>
  <si>
    <t>Baby Breath - Putih</t>
    <phoneticPr fontId="0" type="noConversion"/>
  </si>
  <si>
    <t>BB2</t>
  </si>
  <si>
    <t>Baby Breath - Pink</t>
    <phoneticPr fontId="0" type="noConversion"/>
  </si>
  <si>
    <t>BB3</t>
  </si>
  <si>
    <t>Baby Breath - Merah</t>
    <phoneticPr fontId="0" type="noConversion"/>
  </si>
  <si>
    <t>BB4</t>
  </si>
  <si>
    <t>Baby Breath - Biru</t>
    <phoneticPr fontId="0" type="noConversion"/>
  </si>
  <si>
    <t>BB5</t>
  </si>
  <si>
    <t>Baby Breath - Ungu</t>
    <phoneticPr fontId="0" type="noConversion"/>
  </si>
  <si>
    <t>BB6</t>
    <phoneticPr fontId="0" type="noConversion"/>
  </si>
  <si>
    <t>Baby Breath - Kuning</t>
    <phoneticPr fontId="0" type="noConversion"/>
  </si>
  <si>
    <t>BB7</t>
    <phoneticPr fontId="0" type="noConversion"/>
  </si>
  <si>
    <t>Baby Breath - Oren</t>
    <phoneticPr fontId="0" type="noConversion"/>
  </si>
  <si>
    <t>BB8</t>
    <phoneticPr fontId="0" type="noConversion"/>
  </si>
  <si>
    <t>Baby Breath - Hijau</t>
    <phoneticPr fontId="0" type="noConversion"/>
  </si>
  <si>
    <t>C1</t>
    <phoneticPr fontId="0" type="noConversion"/>
  </si>
  <si>
    <t>Cotton - Putih</t>
    <phoneticPr fontId="0" type="noConversion"/>
  </si>
  <si>
    <t>10 tangkai</t>
    <phoneticPr fontId="0" type="noConversion"/>
  </si>
  <si>
    <t>C2</t>
  </si>
  <si>
    <t>Cotton - Pink</t>
    <phoneticPr fontId="0" type="noConversion"/>
  </si>
  <si>
    <t>C3</t>
  </si>
  <si>
    <t>Cotton - Merah</t>
    <phoneticPr fontId="0" type="noConversion"/>
  </si>
  <si>
    <t>C4</t>
  </si>
  <si>
    <t>Cotton - Biru</t>
    <phoneticPr fontId="0" type="noConversion"/>
  </si>
  <si>
    <t>C5</t>
  </si>
  <si>
    <t>Cotton - Ungu</t>
    <phoneticPr fontId="0" type="noConversion"/>
  </si>
  <si>
    <t>C6</t>
    <phoneticPr fontId="0" type="noConversion"/>
  </si>
  <si>
    <t>Cotton - Yellow</t>
    <phoneticPr fontId="0" type="noConversion"/>
  </si>
  <si>
    <t>C7</t>
    <phoneticPr fontId="0" type="noConversion"/>
  </si>
  <si>
    <t>Cotton - Hijau</t>
    <phoneticPr fontId="0" type="noConversion"/>
  </si>
  <si>
    <t>CP1</t>
    <phoneticPr fontId="0" type="noConversion"/>
  </si>
  <si>
    <t>Caspea</t>
    <phoneticPr fontId="0" type="noConversion"/>
  </si>
  <si>
    <t>CP2</t>
    <phoneticPr fontId="0" type="noConversion"/>
  </si>
  <si>
    <t>Caspea Putih</t>
    <phoneticPr fontId="0" type="noConversion"/>
  </si>
  <si>
    <t>40000 / 50 gram</t>
    <phoneticPr fontId="0" type="noConversion"/>
  </si>
  <si>
    <t>SV1</t>
    <phoneticPr fontId="0" type="noConversion"/>
  </si>
  <si>
    <t>Scaevola Putih</t>
    <phoneticPr fontId="0" type="noConversion"/>
  </si>
  <si>
    <t>SV2</t>
    <phoneticPr fontId="0" type="noConversion"/>
  </si>
  <si>
    <t>Scaevola Pink</t>
    <phoneticPr fontId="0" type="noConversion"/>
  </si>
  <si>
    <t>AS1</t>
    <phoneticPr fontId="0" type="noConversion"/>
  </si>
  <si>
    <t>Asparagus - Putih</t>
    <phoneticPr fontId="0" type="noConversion"/>
  </si>
  <si>
    <t>AS2</t>
  </si>
  <si>
    <t>Asparagus - Pink</t>
    <phoneticPr fontId="0" type="noConversion"/>
  </si>
  <si>
    <t>AS3</t>
  </si>
  <si>
    <t>Asparagus - Merah</t>
    <phoneticPr fontId="0" type="noConversion"/>
  </si>
  <si>
    <t>AS4</t>
  </si>
  <si>
    <t>Asparagus - Biru</t>
    <phoneticPr fontId="0" type="noConversion"/>
  </si>
  <si>
    <t>AS5</t>
  </si>
  <si>
    <t>Asparagus - Ungu</t>
    <phoneticPr fontId="0" type="noConversion"/>
  </si>
  <si>
    <t>AS6</t>
    <phoneticPr fontId="0" type="noConversion"/>
  </si>
  <si>
    <t>Asparagus - Kuning</t>
    <phoneticPr fontId="0" type="noConversion"/>
  </si>
  <si>
    <t>AS7</t>
    <phoneticPr fontId="0" type="noConversion"/>
  </si>
  <si>
    <t>Asparagus - Hijau</t>
    <phoneticPr fontId="0" type="noConversion"/>
  </si>
  <si>
    <t>SB1</t>
    <phoneticPr fontId="0" type="noConversion"/>
  </si>
  <si>
    <t>Scabiosa - Putih</t>
    <phoneticPr fontId="0" type="noConversion"/>
  </si>
  <si>
    <t>10 Tangkai</t>
    <phoneticPr fontId="0" type="noConversion"/>
  </si>
  <si>
    <t>SB2</t>
    <phoneticPr fontId="0" type="noConversion"/>
  </si>
  <si>
    <t>Scabiosa - Pink</t>
    <phoneticPr fontId="0" type="noConversion"/>
  </si>
  <si>
    <t>SB3</t>
    <phoneticPr fontId="0" type="noConversion"/>
  </si>
  <si>
    <t>Scabiosa - Merah</t>
    <phoneticPr fontId="0" type="noConversion"/>
  </si>
  <si>
    <t>B1</t>
    <phoneticPr fontId="0" type="noConversion"/>
  </si>
  <si>
    <t>Bunny Tail - Putih</t>
    <phoneticPr fontId="0" type="noConversion"/>
  </si>
  <si>
    <t>B2</t>
    <phoneticPr fontId="0" type="noConversion"/>
  </si>
  <si>
    <t>Bunny Tail - Pink</t>
    <phoneticPr fontId="0" type="noConversion"/>
  </si>
  <si>
    <t>B3</t>
    <phoneticPr fontId="0" type="noConversion"/>
  </si>
  <si>
    <t>Bunny Tail - Merah</t>
    <phoneticPr fontId="0" type="noConversion"/>
  </si>
  <si>
    <t>B4</t>
    <phoneticPr fontId="0" type="noConversion"/>
  </si>
  <si>
    <t>Bunny Tail - Biru</t>
    <phoneticPr fontId="0" type="noConversion"/>
  </si>
  <si>
    <t>B5</t>
    <phoneticPr fontId="0" type="noConversion"/>
  </si>
  <si>
    <t>Bunny Tail - Ungu</t>
    <phoneticPr fontId="0" type="noConversion"/>
  </si>
  <si>
    <t>RK1</t>
  </si>
  <si>
    <t>Ruskus - Putih</t>
  </si>
  <si>
    <t>5 Batang / pack</t>
    <phoneticPr fontId="0" type="noConversion"/>
  </si>
  <si>
    <t>RK2</t>
  </si>
  <si>
    <t>Ruskus - Pink</t>
  </si>
  <si>
    <t>RK3</t>
  </si>
  <si>
    <t>Ruskus - Biru</t>
  </si>
  <si>
    <t>PC1</t>
  </si>
  <si>
    <t>Popcorn - Pink</t>
  </si>
  <si>
    <t>1 pack 80-100gram</t>
    <phoneticPr fontId="0" type="noConversion"/>
  </si>
  <si>
    <t>PC2</t>
  </si>
  <si>
    <t>Popcorn - Putih</t>
  </si>
  <si>
    <t>PC3</t>
    <phoneticPr fontId="0" type="noConversion"/>
  </si>
  <si>
    <t>Popcorn - Kuning</t>
    <phoneticPr fontId="0" type="noConversion"/>
  </si>
  <si>
    <t>EC1</t>
  </si>
  <si>
    <t>Eucalyptus</t>
  </si>
  <si>
    <t>15 tangkai / pack</t>
    <phoneticPr fontId="0" type="noConversion"/>
  </si>
  <si>
    <t>LV1</t>
  </si>
  <si>
    <t>Lavender - Putih</t>
  </si>
  <si>
    <t>10 batang</t>
    <phoneticPr fontId="0" type="noConversion"/>
  </si>
  <si>
    <t>VL1</t>
  </si>
  <si>
    <t>Violet - kuning</t>
  </si>
  <si>
    <t>pack</t>
    <phoneticPr fontId="0" type="noConversion"/>
  </si>
  <si>
    <t>VL2</t>
    <phoneticPr fontId="0" type="noConversion"/>
  </si>
  <si>
    <t>Violet - Merah</t>
    <phoneticPr fontId="0" type="noConversion"/>
  </si>
  <si>
    <t>VL3</t>
    <phoneticPr fontId="0" type="noConversion"/>
  </si>
  <si>
    <t>Violet - Pink</t>
    <phoneticPr fontId="0" type="noConversion"/>
  </si>
  <si>
    <t>VL4</t>
    <phoneticPr fontId="0" type="noConversion"/>
  </si>
  <si>
    <t>Violet - Biru</t>
    <phoneticPr fontId="0" type="noConversion"/>
  </si>
  <si>
    <t>VL5</t>
    <phoneticPr fontId="0" type="noConversion"/>
  </si>
  <si>
    <t>Violet - Ungu</t>
    <phoneticPr fontId="0" type="noConversion"/>
  </si>
  <si>
    <t>LN1</t>
  </si>
  <si>
    <t>Lino - Merah</t>
  </si>
  <si>
    <t>LN2</t>
  </si>
  <si>
    <t>Lino - Pink</t>
  </si>
  <si>
    <t>PP1</t>
  </si>
  <si>
    <t>Pampas - Merah</t>
  </si>
  <si>
    <t>15 batang / pack</t>
    <phoneticPr fontId="0" type="noConversion"/>
  </si>
  <si>
    <t>PP2</t>
  </si>
  <si>
    <t>Pampas - Biru</t>
  </si>
  <si>
    <t>PP3</t>
  </si>
  <si>
    <t>Pampas - Pink</t>
  </si>
  <si>
    <t>BL1</t>
  </si>
  <si>
    <t>Bloombox Putih</t>
    <phoneticPr fontId="0" type="noConversion"/>
  </si>
  <si>
    <t>12x12cm</t>
  </si>
  <si>
    <t>BL2</t>
  </si>
  <si>
    <t>Bloombox Pink</t>
    <phoneticPr fontId="0" type="noConversion"/>
  </si>
  <si>
    <t>BL3</t>
    <phoneticPr fontId="0" type="noConversion"/>
  </si>
  <si>
    <t>BLOOMBOX SILVER</t>
    <phoneticPr fontId="0" type="noConversion"/>
  </si>
  <si>
    <t>1box</t>
    <phoneticPr fontId="0" type="noConversion"/>
  </si>
  <si>
    <t>BL4</t>
    <phoneticPr fontId="0" type="noConversion"/>
  </si>
  <si>
    <t>BLOOMBOX Silver ISI 4</t>
    <phoneticPr fontId="0" type="noConversion"/>
  </si>
  <si>
    <t>4 box (kecil - besar)</t>
    <phoneticPr fontId="0" type="noConversion"/>
  </si>
  <si>
    <t>BL5</t>
    <phoneticPr fontId="0" type="noConversion"/>
  </si>
  <si>
    <t>BLOOMBOX Putih ISI 4</t>
    <phoneticPr fontId="0" type="noConversion"/>
  </si>
  <si>
    <t>BL6</t>
    <phoneticPr fontId="0" type="noConversion"/>
  </si>
  <si>
    <t>BLOOMBOX Hitam ISI 4</t>
    <phoneticPr fontId="0" type="noConversion"/>
  </si>
  <si>
    <t>BL7</t>
    <phoneticPr fontId="0" type="noConversion"/>
  </si>
  <si>
    <t>Bloombox Silver isi 2</t>
    <phoneticPr fontId="0" type="noConversion"/>
  </si>
  <si>
    <t>2 Box (besar&amp;kecil)</t>
    <phoneticPr fontId="0" type="noConversion"/>
  </si>
  <si>
    <t>BL8</t>
    <phoneticPr fontId="0" type="noConversion"/>
  </si>
  <si>
    <t>Bloombox Putih isi 2</t>
    <phoneticPr fontId="0" type="noConversion"/>
  </si>
  <si>
    <t>DR1</t>
    <phoneticPr fontId="0" type="noConversion"/>
  </si>
  <si>
    <t>Dried Red Rose</t>
    <phoneticPr fontId="0" type="noConversion"/>
  </si>
  <si>
    <t>RT1</t>
  </si>
  <si>
    <t>Rattan Bulat Tinggi</t>
  </si>
  <si>
    <t>13 x 14 x 32 cm</t>
  </si>
  <si>
    <t>RT2</t>
  </si>
  <si>
    <t>Rattan Segi</t>
  </si>
  <si>
    <t xml:space="preserve"> 11,5 x 12 x 34 cm </t>
  </si>
  <si>
    <t>RT3</t>
  </si>
  <si>
    <t>Rattan Lonjong</t>
  </si>
  <si>
    <t>22 x 16 x 29 cm</t>
  </si>
  <si>
    <t>RT4</t>
  </si>
  <si>
    <t>Rattan Gendut</t>
  </si>
  <si>
    <t>23 x 16 x 24 cm</t>
  </si>
  <si>
    <t>RT5</t>
  </si>
  <si>
    <t>Rattan Slim</t>
  </si>
  <si>
    <t>19 x 12 x 33 cm</t>
  </si>
  <si>
    <t>RT6</t>
  </si>
  <si>
    <t>Rattan Bulat Pendek</t>
  </si>
  <si>
    <t>15 x 11 x 29 cm</t>
  </si>
  <si>
    <t>RT7</t>
  </si>
  <si>
    <t>Ratan Princess</t>
  </si>
  <si>
    <t>21 x 16 x 26 cm</t>
  </si>
  <si>
    <t>RT8</t>
    <phoneticPr fontId="0" type="noConversion"/>
  </si>
  <si>
    <t>Ratan Telur</t>
    <phoneticPr fontId="0" type="noConversion"/>
  </si>
  <si>
    <t>RT9</t>
    <phoneticPr fontId="0" type="noConversion"/>
  </si>
  <si>
    <t>Pot Fu Merah</t>
    <phoneticPr fontId="0" type="noConversion"/>
  </si>
  <si>
    <t>RT10</t>
    <phoneticPr fontId="0" type="noConversion"/>
  </si>
  <si>
    <t>Pot Fu Gold</t>
    <phoneticPr fontId="0" type="noConversion"/>
  </si>
  <si>
    <t>RT11</t>
    <phoneticPr fontId="0" type="noConversion"/>
  </si>
  <si>
    <t>Pot keramik</t>
    <phoneticPr fontId="0" type="noConversion"/>
  </si>
  <si>
    <t>tinggi 20 cm</t>
    <phoneticPr fontId="0" type="noConversion"/>
  </si>
  <si>
    <t>DT1</t>
    <phoneticPr fontId="0" type="noConversion"/>
  </si>
  <si>
    <t>daun Tangerine Pink</t>
    <phoneticPr fontId="0" type="noConversion"/>
  </si>
  <si>
    <t>DT2</t>
    <phoneticPr fontId="0" type="noConversion"/>
  </si>
  <si>
    <t>daun Tangerine Putih</t>
    <phoneticPr fontId="0" type="noConversion"/>
  </si>
  <si>
    <t>KM1</t>
    <phoneticPr fontId="0" type="noConversion"/>
  </si>
  <si>
    <t>Kelopak Mawar</t>
    <phoneticPr fontId="0" type="noConversion"/>
  </si>
  <si>
    <t>100 gram</t>
    <phoneticPr fontId="0" type="noConversion"/>
  </si>
  <si>
    <t>+40k / 100 gram selanjutnya, jika 500gr = 200.000</t>
    <phoneticPr fontId="0" type="noConversion"/>
  </si>
  <si>
    <t>AC1</t>
    <phoneticPr fontId="0" type="noConversion"/>
  </si>
  <si>
    <t>Acrylic Bag</t>
    <phoneticPr fontId="0" type="noConversion"/>
  </si>
  <si>
    <t>AC2</t>
    <phoneticPr fontId="0" type="noConversion"/>
  </si>
  <si>
    <t>Acrylic Cermin</t>
    <phoneticPr fontId="0" type="noConversion"/>
  </si>
  <si>
    <t>AC3</t>
    <phoneticPr fontId="0" type="noConversion"/>
  </si>
  <si>
    <t>Acrylic Tabung</t>
    <phoneticPr fontId="0" type="noConversion"/>
  </si>
  <si>
    <t>AC</t>
    <phoneticPr fontId="0" type="noConversion"/>
  </si>
  <si>
    <t>Avrylic Persegi</t>
    <phoneticPr fontId="0" type="noConversion"/>
  </si>
  <si>
    <t>SA1</t>
    <phoneticPr fontId="0" type="noConversion"/>
  </si>
  <si>
    <t xml:space="preserve">Star Anise </t>
    <phoneticPr fontId="0" type="noConversion"/>
  </si>
  <si>
    <t>50 gram / pack</t>
    <phoneticPr fontId="0" type="noConversion"/>
  </si>
  <si>
    <t>BLB1</t>
    <phoneticPr fontId="0" type="noConversion"/>
  </si>
  <si>
    <t>Billy Button - Pink</t>
  </si>
  <si>
    <t>BLB2</t>
    <phoneticPr fontId="0" type="noConversion"/>
  </si>
  <si>
    <t>Billy Button - Putih</t>
    <phoneticPr fontId="0" type="noConversion"/>
  </si>
  <si>
    <t>BLB3</t>
    <phoneticPr fontId="0" type="noConversion"/>
  </si>
  <si>
    <t>Billy Button - Oren</t>
    <phoneticPr fontId="0" type="noConversion"/>
  </si>
  <si>
    <t>BLB4</t>
    <phoneticPr fontId="0" type="noConversion"/>
  </si>
  <si>
    <t>Billy Button - Biru</t>
    <phoneticPr fontId="0" type="noConversion"/>
  </si>
  <si>
    <t>CS1</t>
    <phoneticPr fontId="0" type="noConversion"/>
  </si>
  <si>
    <t>LUCKY CAT GOLD</t>
    <phoneticPr fontId="0" type="noConversion"/>
  </si>
  <si>
    <t>8 x8 x 10cm</t>
  </si>
  <si>
    <t>CS2</t>
    <phoneticPr fontId="0" type="noConversion"/>
  </si>
  <si>
    <t>CAISHEN GOLD - small</t>
    <phoneticPr fontId="0" type="noConversion"/>
  </si>
  <si>
    <t>8 x8 x 11 cm</t>
  </si>
  <si>
    <t>CS3</t>
    <phoneticPr fontId="0" type="noConversion"/>
  </si>
  <si>
    <t>CAISHEN RED - small</t>
    <phoneticPr fontId="0" type="noConversion"/>
  </si>
  <si>
    <t>C13</t>
    <phoneticPr fontId="0" type="noConversion"/>
  </si>
  <si>
    <t>Chaishen Premium - Medium</t>
    <phoneticPr fontId="0" type="noConversion"/>
  </si>
  <si>
    <t>CS5</t>
    <phoneticPr fontId="0" type="noConversion"/>
  </si>
  <si>
    <t>Chaishen Premium - Large</t>
    <phoneticPr fontId="0" type="noConversion"/>
  </si>
  <si>
    <t>11 x 11 x 13,5 cm</t>
  </si>
  <si>
    <t>C14</t>
    <phoneticPr fontId="0" type="noConversion"/>
  </si>
  <si>
    <t>Chaishen Premium - Extra Large</t>
    <phoneticPr fontId="0" type="noConversion"/>
  </si>
  <si>
    <t>CS4</t>
    <phoneticPr fontId="0" type="noConversion"/>
  </si>
  <si>
    <t>LUCKY CAT GOLD SACK/GENDUT</t>
    <phoneticPr fontId="0" type="noConversion"/>
  </si>
  <si>
    <t>CS6</t>
    <phoneticPr fontId="0" type="noConversion"/>
  </si>
  <si>
    <t>Barongsai - Merah</t>
    <phoneticPr fontId="0" type="noConversion"/>
  </si>
  <si>
    <t>C10</t>
    <phoneticPr fontId="0" type="noConversion"/>
  </si>
  <si>
    <t>Barongsai - Kuning</t>
    <phoneticPr fontId="0" type="noConversion"/>
  </si>
  <si>
    <t>C11</t>
    <phoneticPr fontId="0" type="noConversion"/>
  </si>
  <si>
    <t>Barongsai karakter - Cewe</t>
    <phoneticPr fontId="0" type="noConversion"/>
  </si>
  <si>
    <t>C12</t>
    <phoneticPr fontId="0" type="noConversion"/>
  </si>
  <si>
    <t>Barongsai karakter - Cowo</t>
    <phoneticPr fontId="0" type="noConversion"/>
  </si>
  <si>
    <t>CS7</t>
    <phoneticPr fontId="0" type="noConversion"/>
  </si>
  <si>
    <t>Lucky cat Mini</t>
    <phoneticPr fontId="0" type="noConversion"/>
  </si>
  <si>
    <t>isi 6 pcs</t>
    <phoneticPr fontId="0" type="noConversion"/>
  </si>
  <si>
    <t>CS8</t>
    <phoneticPr fontId="0" type="noConversion"/>
  </si>
  <si>
    <t>LUCKY CAT PUTIH</t>
    <phoneticPr fontId="0" type="noConversion"/>
  </si>
  <si>
    <t>satuan pcs</t>
    <phoneticPr fontId="0" type="noConversion"/>
  </si>
  <si>
    <t>CS9</t>
    <phoneticPr fontId="0" type="noConversion"/>
  </si>
  <si>
    <t>Caishen Mini</t>
    <phoneticPr fontId="0" type="noConversion"/>
  </si>
  <si>
    <t>SFB</t>
    <phoneticPr fontId="0" type="noConversion"/>
  </si>
  <si>
    <t>Standing Flower Biasa</t>
    <phoneticPr fontId="0" type="noConversion"/>
  </si>
  <si>
    <t>1 pcs + piring</t>
    <phoneticPr fontId="0" type="noConversion"/>
  </si>
  <si>
    <t>SFG</t>
    <phoneticPr fontId="0" type="noConversion"/>
  </si>
  <si>
    <t>Standing Flower Gold</t>
    <phoneticPr fontId="0" type="noConversion"/>
  </si>
  <si>
    <t>1 pcs non piring</t>
    <phoneticPr fontId="0" type="noConversion"/>
  </si>
  <si>
    <t>POT1</t>
    <phoneticPr fontId="0" type="noConversion"/>
  </si>
  <si>
    <t>ALAS BUSA BULAT MEDIUM</t>
    <phoneticPr fontId="0" type="noConversion"/>
  </si>
  <si>
    <t>16 x 22 x 28 cm</t>
    <phoneticPr fontId="0" type="noConversion"/>
  </si>
  <si>
    <t>POT2</t>
    <phoneticPr fontId="0" type="noConversion"/>
  </si>
  <si>
    <t>ALAS BUSA BULAT BESAR</t>
    <phoneticPr fontId="0" type="noConversion"/>
  </si>
  <si>
    <t>22 x 24 x 28 cm</t>
    <phoneticPr fontId="0" type="noConversion"/>
  </si>
  <si>
    <t>POT3</t>
    <phoneticPr fontId="0" type="noConversion"/>
  </si>
  <si>
    <t>ALAS BUSA KECIL (PINK)</t>
    <phoneticPr fontId="0" type="noConversion"/>
  </si>
  <si>
    <t>MA1</t>
    <phoneticPr fontId="0" type="noConversion"/>
  </si>
  <si>
    <t>Mirror Acrylic Cloudy</t>
    <phoneticPr fontId="0" type="noConversion"/>
  </si>
  <si>
    <t>1 set sama tatakan</t>
    <phoneticPr fontId="0" type="noConversion"/>
  </si>
  <si>
    <t>25 x 30 cm</t>
    <phoneticPr fontId="0" type="noConversion"/>
  </si>
  <si>
    <t>MA2</t>
    <phoneticPr fontId="0" type="noConversion"/>
  </si>
  <si>
    <t>Mirror Acrylic Bulat</t>
    <phoneticPr fontId="0" type="noConversion"/>
  </si>
  <si>
    <t>diameter 40 cm</t>
    <phoneticPr fontId="0" type="noConversion"/>
  </si>
  <si>
    <t>GD1</t>
    <phoneticPr fontId="0" type="noConversion"/>
  </si>
  <si>
    <t>Glass Dome</t>
    <phoneticPr fontId="0" type="noConversion"/>
  </si>
  <si>
    <t>DA1</t>
    <phoneticPr fontId="0" type="noConversion"/>
  </si>
  <si>
    <t>Daun Apel Kuning</t>
    <phoneticPr fontId="0" type="noConversion"/>
  </si>
  <si>
    <t>DA2</t>
    <phoneticPr fontId="0" type="noConversion"/>
  </si>
  <si>
    <t>Daun Apel Merah</t>
    <phoneticPr fontId="0" type="noConversion"/>
  </si>
  <si>
    <t>BP1</t>
    <phoneticPr fontId="0" type="noConversion"/>
  </si>
  <si>
    <t>Bunga Pinus</t>
    <phoneticPr fontId="0" type="noConversion"/>
  </si>
  <si>
    <t>WB1</t>
    <phoneticPr fontId="0" type="noConversion"/>
  </si>
  <si>
    <t>WINE BOX</t>
    <phoneticPr fontId="0" type="noConversion"/>
  </si>
  <si>
    <t>GS2</t>
    <phoneticPr fontId="0" type="noConversion"/>
  </si>
  <si>
    <t>GREETING STICK PLASTIK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</si>
</sst>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IDR&quot;* #,##0_);_(&quot;IDR&quot;* \(#,##0\);_(&quot;IDR&quot;* &quot;-&quot;_);_(@_)"/>
    <numFmt numFmtId="43" formatCode="_(* #,##0.00_);_(* \(#,##0.00\);_(* &quot;-&quot;??_);_(@_)"/>
    <numFmt numFmtId="164" formatCode="_-[$IDR-3809]* #,##0.00_-;\-[$IDR-3809]* #,##0.00_-;_-[$IDR-3809]* &quot;-&quot;??_-;_-@_-"/>
    <numFmt numFmtId="165" formatCode="_(* #,##0_);_(* \(#,##0\);_(* &quot;-&quot;??_);_(@_)"/>
    <numFmt numFmtId="166" formatCode="_-[$IDR-3809]* #,##0_-;\-[$IDR-3809]* #,##0_-;_-[$IDR-3809]* &quot;-&quot;??_-;_-@_-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2"/>
    </font>
    <font>
      <sz val="12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4" xfId="1" applyNumberFormat="1" applyFont="1" applyFill="1" applyBorder="1" applyAlignment="1">
      <alignment horizontal="center" vertical="center"/>
    </xf>
    <xf numFmtId="42" fontId="6" fillId="0" borderId="3" xfId="2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166" fontId="4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42" fontId="6" fillId="0" borderId="5" xfId="2" applyFont="1" applyFill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165" fontId="6" fillId="0" borderId="6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5" fontId="6" fillId="0" borderId="5" xfId="1" applyNumberFormat="1" applyFont="1" applyFill="1" applyBorder="1" applyAlignment="1">
      <alignment horizontal="center" vertical="center"/>
    </xf>
    <xf numFmtId="165" fontId="6" fillId="0" borderId="6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65" fontId="6" fillId="3" borderId="3" xfId="1" applyNumberFormat="1" applyFont="1" applyFill="1" applyBorder="1" applyAlignment="1">
      <alignment horizontal="center" vertical="center"/>
    </xf>
    <xf numFmtId="165" fontId="6" fillId="3" borderId="4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5" fontId="8" fillId="0" borderId="3" xfId="1" applyNumberFormat="1" applyFont="1" applyFill="1" applyBorder="1" applyAlignment="1">
      <alignment horizontal="center" vertical="center"/>
    </xf>
    <xf numFmtId="165" fontId="8" fillId="0" borderId="4" xfId="1" applyNumberFormat="1" applyFont="1" applyFill="1" applyBorder="1" applyAlignment="1">
      <alignment horizontal="center" vertical="center"/>
    </xf>
    <xf numFmtId="0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3" xfId="1" applyNumberFormat="1" applyFont="1" applyBorder="1" applyAlignment="1">
      <alignment horizontal="center" vertical="center"/>
    </xf>
    <xf numFmtId="0" fontId="6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/>
    </xf>
    <xf numFmtId="164" fontId="4" fillId="0" borderId="5" xfId="2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42" fontId="8" fillId="0" borderId="5" xfId="2" applyFont="1" applyFill="1" applyBorder="1" applyAlignment="1">
      <alignment horizontal="center" vertical="center"/>
    </xf>
    <xf numFmtId="165" fontId="8" fillId="0" borderId="5" xfId="1" applyNumberFormat="1" applyFont="1" applyBorder="1" applyAlignment="1">
      <alignment horizontal="center" vertical="center"/>
    </xf>
    <xf numFmtId="165" fontId="8" fillId="0" borderId="6" xfId="1" applyNumberFormat="1" applyFont="1" applyBorder="1" applyAlignment="1">
      <alignment horizontal="center" vertical="center"/>
    </xf>
  </cellXfs>
  <cellStyles count="4">
    <cellStyle name="Comma" xfId="1" builtinId="3"/>
    <cellStyle name="Currency [0]" xfId="2" builtinId="7"/>
    <cellStyle name="Hyperlink" xfId="3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esktop/Bees%20Supply%20stock%20tables.xlsx" TargetMode="External"/><Relationship Id="rId1" Type="http://schemas.openxmlformats.org/officeDocument/2006/relationships/externalLinkPath" Target="Bees%20Supply%20stock%20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P 1688"/>
      <sheetName val="SPF"/>
      <sheetName val="Daftar Produk"/>
      <sheetName val="Barang Masuk"/>
      <sheetName val="Sheet3"/>
      <sheetName val="Barang Keluar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P@" TargetMode="External"/><Relationship Id="rId3" Type="http://schemas.openxmlformats.org/officeDocument/2006/relationships/hyperlink" Target="mailto:SP@" TargetMode="External"/><Relationship Id="rId7" Type="http://schemas.openxmlformats.org/officeDocument/2006/relationships/hyperlink" Target="mailto:SP@" TargetMode="External"/><Relationship Id="rId2" Type="http://schemas.openxmlformats.org/officeDocument/2006/relationships/hyperlink" Target="mailto:SP@" TargetMode="External"/><Relationship Id="rId1" Type="http://schemas.openxmlformats.org/officeDocument/2006/relationships/hyperlink" Target="mailto:SP@" TargetMode="External"/><Relationship Id="rId6" Type="http://schemas.openxmlformats.org/officeDocument/2006/relationships/hyperlink" Target="mailto:SP@" TargetMode="External"/><Relationship Id="rId11" Type="http://schemas.openxmlformats.org/officeDocument/2006/relationships/hyperlink" Target="mailto:SP@" TargetMode="External"/><Relationship Id="rId5" Type="http://schemas.openxmlformats.org/officeDocument/2006/relationships/hyperlink" Target="mailto:SP@" TargetMode="External"/><Relationship Id="rId10" Type="http://schemas.openxmlformats.org/officeDocument/2006/relationships/hyperlink" Target="mailto:SP@" TargetMode="External"/><Relationship Id="rId4" Type="http://schemas.openxmlformats.org/officeDocument/2006/relationships/hyperlink" Target="mailto:SP@" TargetMode="External"/><Relationship Id="rId9" Type="http://schemas.openxmlformats.org/officeDocument/2006/relationships/hyperlink" Target="mailto:S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371B-DCF3-E249-900B-0D20D1B717BC}">
  <dimension ref="A1:I527"/>
  <sheetViews>
    <sheetView tabSelected="1" topLeftCell="A465" workbookViewId="0">
      <selection activeCell="J474" sqref="J474"/>
    </sheetView>
  </sheetViews>
  <sheetFormatPr baseColWidth="10" defaultRowHeight="16"/>
  <cols>
    <col min="1" max="1" width="6.6640625" style="2" customWidth="1"/>
    <col min="2" max="2" width="20.33203125" style="3" customWidth="1"/>
    <col min="3" max="3" width="15.33203125" style="4" customWidth="1"/>
    <col min="4" max="4" width="14.5" style="3" customWidth="1"/>
    <col min="5" max="5" width="11" style="3" customWidth="1"/>
    <col min="6" max="6" width="11.33203125" style="3" customWidth="1"/>
    <col min="7" max="7" width="14.5" style="5" customWidth="1"/>
    <col min="8" max="8" width="12.1640625" style="5" customWidth="1"/>
    <col min="9" max="9" width="8" style="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ht="17">
      <c r="A3" s="6" t="s">
        <v>1</v>
      </c>
      <c r="B3" s="7" t="s">
        <v>2</v>
      </c>
      <c r="C3" s="8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9" t="s">
        <v>9</v>
      </c>
    </row>
    <row r="4" spans="1:9" ht="17">
      <c r="A4" s="10" t="s">
        <v>10</v>
      </c>
      <c r="B4" s="11" t="s">
        <v>11</v>
      </c>
      <c r="C4" s="12">
        <v>27000</v>
      </c>
      <c r="D4" s="10" t="s">
        <v>12</v>
      </c>
      <c r="E4" s="10" t="s">
        <v>13</v>
      </c>
      <c r="F4" s="10"/>
      <c r="G4" s="13">
        <f>SUMIF([1]!Table3[Kode],[1]!Table1[[#This Row],[Kode]],[1]!Table3[Qty])</f>
        <v>3</v>
      </c>
      <c r="H4" s="13">
        <f>SUMIF([1]!Table35[Kode],[1]!Table1[[#This Row],[Kode]],[1]!Table35[Qty])</f>
        <v>1</v>
      </c>
      <c r="I4" s="14">
        <f>[1]!Table1[[#This Row],[Stock Awal]]+[1]!Table1[[#This Row],[Stok Masuk]]-[1]!Table1[[#This Row],[Stok Keluar]]</f>
        <v>2</v>
      </c>
    </row>
    <row r="5" spans="1:9" ht="17">
      <c r="A5" s="10" t="s">
        <v>14</v>
      </c>
      <c r="B5" s="11" t="s">
        <v>15</v>
      </c>
      <c r="C5" s="12">
        <v>27000</v>
      </c>
      <c r="D5" s="10" t="s">
        <v>12</v>
      </c>
      <c r="E5" s="10" t="s">
        <v>13</v>
      </c>
      <c r="F5" s="10"/>
      <c r="G5" s="13">
        <f>SUMIF([1]!Table3[Kode],[1]!Table1[[#This Row],[Kode]],[1]!Table3[Qty])</f>
        <v>3</v>
      </c>
      <c r="H5" s="13">
        <f>SUMIF([1]!Table35[Kode],[1]!Table1[[#This Row],[Kode]],[1]!Table35[Qty])</f>
        <v>1</v>
      </c>
      <c r="I5" s="14">
        <f>[1]!Table1[[#This Row],[Stock Awal]]+[1]!Table1[[#This Row],[Stok Masuk]]-[1]!Table1[[#This Row],[Stok Keluar]]</f>
        <v>2</v>
      </c>
    </row>
    <row r="6" spans="1:9" ht="34">
      <c r="A6" s="10" t="s">
        <v>16</v>
      </c>
      <c r="B6" s="11" t="s">
        <v>17</v>
      </c>
      <c r="C6" s="12">
        <v>27000</v>
      </c>
      <c r="D6" s="10" t="s">
        <v>12</v>
      </c>
      <c r="E6" s="10" t="s">
        <v>13</v>
      </c>
      <c r="F6" s="10"/>
      <c r="G6" s="15">
        <f>SUMIF([1]!Table3[Kode],[1]!Table1[[#This Row],[Kode]],[1]!Table3[Qty])</f>
        <v>10</v>
      </c>
      <c r="H6" s="13">
        <f>SUMIF([1]!Table35[Kode],[1]!Table1[[#This Row],[Kode]],[1]!Table35[Qty])</f>
        <v>5</v>
      </c>
      <c r="I6" s="16">
        <f>[1]!Table1[[#This Row],[Stock Awal]]+[1]!Table1[[#This Row],[Stok Masuk]]-[1]!Table1[[#This Row],[Stok Keluar]]</f>
        <v>5</v>
      </c>
    </row>
    <row r="7" spans="1:9" ht="34">
      <c r="A7" s="10" t="s">
        <v>18</v>
      </c>
      <c r="B7" s="11" t="s">
        <v>19</v>
      </c>
      <c r="C7" s="12">
        <v>27000</v>
      </c>
      <c r="D7" s="10" t="s">
        <v>12</v>
      </c>
      <c r="E7" s="10" t="s">
        <v>13</v>
      </c>
      <c r="F7" s="10"/>
      <c r="G7" s="13">
        <f>SUMIF([1]!Table3[Kode],[1]!Table1[[#This Row],[Kode]],[1]!Table3[Qty])</f>
        <v>5</v>
      </c>
      <c r="H7" s="13">
        <f>SUMIF([1]!Table35[Kode],[1]!Table1[[#This Row],[Kode]],[1]!Table35[Qty])</f>
        <v>2</v>
      </c>
      <c r="I7" s="14">
        <f>[1]!Table1[[#This Row],[Stock Awal]]+[1]!Table1[[#This Row],[Stok Masuk]]-[1]!Table1[[#This Row],[Stok Keluar]]</f>
        <v>3</v>
      </c>
    </row>
    <row r="8" spans="1:9" ht="17">
      <c r="A8" s="10" t="s">
        <v>20</v>
      </c>
      <c r="B8" s="11" t="s">
        <v>21</v>
      </c>
      <c r="C8" s="12">
        <v>27000</v>
      </c>
      <c r="D8" s="10" t="s">
        <v>12</v>
      </c>
      <c r="E8" s="10" t="s">
        <v>13</v>
      </c>
      <c r="F8" s="10"/>
      <c r="G8" s="13">
        <f>SUMIF([1]!Table3[Kode],[1]!Table1[[#This Row],[Kode]],[1]!Table3[Qty])</f>
        <v>10</v>
      </c>
      <c r="H8" s="13">
        <f>SUMIF([1]!Table35[Kode],[1]!Table1[[#This Row],[Kode]],[1]!Table35[Qty])</f>
        <v>8</v>
      </c>
      <c r="I8" s="14">
        <f>[1]!Table1[[#This Row],[Stock Awal]]+[1]!Table1[[#This Row],[Stok Masuk]]-[1]!Table1[[#This Row],[Stok Keluar]]</f>
        <v>2</v>
      </c>
    </row>
    <row r="9" spans="1:9" ht="17">
      <c r="A9" s="10" t="s">
        <v>22</v>
      </c>
      <c r="B9" s="11" t="s">
        <v>23</v>
      </c>
      <c r="C9" s="12">
        <v>27000</v>
      </c>
      <c r="D9" s="10" t="s">
        <v>12</v>
      </c>
      <c r="E9" s="10" t="s">
        <v>13</v>
      </c>
      <c r="F9" s="10"/>
      <c r="G9" s="13">
        <f>SUMIF([1]!Table3[Kode],[1]!Table1[[#This Row],[Kode]],[1]!Table3[Qty])</f>
        <v>10</v>
      </c>
      <c r="H9" s="13">
        <f>SUMIF([1]!Table35[Kode],[1]!Table1[[#This Row],[Kode]],[1]!Table35[Qty])</f>
        <v>9</v>
      </c>
      <c r="I9" s="14">
        <f>[1]!Table1[[#This Row],[Stock Awal]]+[1]!Table1[[#This Row],[Stok Masuk]]-[1]!Table1[[#This Row],[Stok Keluar]]</f>
        <v>1</v>
      </c>
    </row>
    <row r="10" spans="1:9" ht="17">
      <c r="A10" s="10" t="s">
        <v>24</v>
      </c>
      <c r="B10" s="11" t="s">
        <v>25</v>
      </c>
      <c r="C10" s="12">
        <v>27000</v>
      </c>
      <c r="D10" s="10" t="s">
        <v>12</v>
      </c>
      <c r="E10" s="10" t="s">
        <v>13</v>
      </c>
      <c r="F10" s="10"/>
      <c r="G10" s="13">
        <f>SUMIF([1]!Table3[Kode],[1]!Table1[[#This Row],[Kode]],[1]!Table3[Qty])</f>
        <v>10</v>
      </c>
      <c r="H10" s="13">
        <f>SUMIF([1]!Table35[Kode],[1]!Table1[[#This Row],[Kode]],[1]!Table35[Qty])</f>
        <v>7</v>
      </c>
      <c r="I10" s="14">
        <f>[1]!Table1[[#This Row],[Stock Awal]]+[1]!Table1[[#This Row],[Stok Masuk]]-[1]!Table1[[#This Row],[Stok Keluar]]</f>
        <v>3</v>
      </c>
    </row>
    <row r="11" spans="1:9" ht="17">
      <c r="A11" s="10" t="s">
        <v>26</v>
      </c>
      <c r="B11" s="11" t="s">
        <v>27</v>
      </c>
      <c r="C11" s="12">
        <v>28000</v>
      </c>
      <c r="D11" s="10" t="s">
        <v>12</v>
      </c>
      <c r="E11" s="10" t="s">
        <v>13</v>
      </c>
      <c r="F11" s="10"/>
      <c r="G11" s="13">
        <f>SUMIF([1]!Table3[Kode],[1]!Table1[[#This Row],[Kode]],[1]!Table3[Qty])</f>
        <v>5</v>
      </c>
      <c r="H11" s="13">
        <f>SUMIF([1]!Table35[Kode],[1]!Table1[[#This Row],[Kode]],[1]!Table35[Qty])</f>
        <v>3</v>
      </c>
      <c r="I11" s="14">
        <f>[1]!Table1[[#This Row],[Stock Awal]]+[1]!Table1[[#This Row],[Stok Masuk]]-[1]!Table1[[#This Row],[Stok Keluar]]</f>
        <v>2</v>
      </c>
    </row>
    <row r="12" spans="1:9" ht="17">
      <c r="A12" s="10" t="s">
        <v>28</v>
      </c>
      <c r="B12" s="11" t="s">
        <v>29</v>
      </c>
      <c r="C12" s="12">
        <v>28000</v>
      </c>
      <c r="D12" s="10" t="s">
        <v>12</v>
      </c>
      <c r="E12" s="10" t="s">
        <v>13</v>
      </c>
      <c r="F12" s="10"/>
      <c r="G12" s="13">
        <f>SUMIF([1]!Table3[Kode],[1]!Table1[[#This Row],[Kode]],[1]!Table3[Qty])</f>
        <v>10</v>
      </c>
      <c r="H12" s="13">
        <f>SUMIF([1]!Table35[Kode],[1]!Table1[[#This Row],[Kode]],[1]!Table35[Qty])</f>
        <v>9</v>
      </c>
      <c r="I12" s="14">
        <f>[1]!Table1[[#This Row],[Stock Awal]]+[1]!Table1[[#This Row],[Stok Masuk]]-[1]!Table1[[#This Row],[Stok Keluar]]</f>
        <v>1</v>
      </c>
    </row>
    <row r="13" spans="1:9" ht="17">
      <c r="A13" s="10" t="s">
        <v>30</v>
      </c>
      <c r="B13" s="11" t="s">
        <v>31</v>
      </c>
      <c r="C13" s="12">
        <v>28000</v>
      </c>
      <c r="D13" s="10" t="s">
        <v>12</v>
      </c>
      <c r="E13" s="10" t="s">
        <v>13</v>
      </c>
      <c r="F13" s="10"/>
      <c r="G13" s="13">
        <f>SUMIF([1]!Table3[Kode],[1]!Table1[[#This Row],[Kode]],[1]!Table3[Qty])</f>
        <v>5</v>
      </c>
      <c r="H13" s="13">
        <f>SUMIF([1]!Table35[Kode],[1]!Table1[[#This Row],[Kode]],[1]!Table35[Qty])</f>
        <v>0</v>
      </c>
      <c r="I13" s="14">
        <f>[1]!Table1[[#This Row],[Stock Awal]]+[1]!Table1[[#This Row],[Stok Masuk]]-[1]!Table1[[#This Row],[Stok Keluar]]</f>
        <v>5</v>
      </c>
    </row>
    <row r="14" spans="1:9" ht="17">
      <c r="A14" s="10" t="s">
        <v>32</v>
      </c>
      <c r="B14" s="11" t="s">
        <v>33</v>
      </c>
      <c r="C14" s="12">
        <v>28000</v>
      </c>
      <c r="D14" s="10" t="s">
        <v>12</v>
      </c>
      <c r="E14" s="10" t="s">
        <v>13</v>
      </c>
      <c r="F14" s="10"/>
      <c r="G14" s="13">
        <f>SUMIF([1]!Table3[Kode],[1]!Table1[[#This Row],[Kode]],[1]!Table3[Qty])</f>
        <v>10</v>
      </c>
      <c r="H14" s="13">
        <f>SUMIF([1]!Table35[Kode],[1]!Table1[[#This Row],[Kode]],[1]!Table35[Qty])</f>
        <v>7</v>
      </c>
      <c r="I14" s="16">
        <f>[1]!Table1[[#This Row],[Stock Awal]]+[1]!Table1[[#This Row],[Stok Masuk]]-[1]!Table1[[#This Row],[Stok Keluar]]</f>
        <v>3</v>
      </c>
    </row>
    <row r="15" spans="1:9" ht="17">
      <c r="A15" s="10" t="s">
        <v>34</v>
      </c>
      <c r="B15" s="11" t="s">
        <v>35</v>
      </c>
      <c r="C15" s="12">
        <v>27000</v>
      </c>
      <c r="D15" s="10" t="s">
        <v>12</v>
      </c>
      <c r="E15" s="10" t="s">
        <v>13</v>
      </c>
      <c r="F15" s="10"/>
      <c r="G15" s="13">
        <f>SUMIF([1]!Table3[Kode],[1]!Table1[[#This Row],[Kode]],[1]!Table3[Qty])</f>
        <v>5</v>
      </c>
      <c r="H15" s="13">
        <f>SUMIF([1]!Table35[Kode],[1]!Table1[[#This Row],[Kode]],[1]!Table35[Qty])</f>
        <v>2</v>
      </c>
      <c r="I15" s="14">
        <f>[1]!Table1[[#This Row],[Stock Awal]]+[1]!Table1[[#This Row],[Stok Masuk]]-[1]!Table1[[#This Row],[Stok Keluar]]</f>
        <v>3</v>
      </c>
    </row>
    <row r="16" spans="1:9" ht="17">
      <c r="A16" s="10" t="s">
        <v>36</v>
      </c>
      <c r="B16" s="11" t="s">
        <v>37</v>
      </c>
      <c r="C16" s="12">
        <v>27000</v>
      </c>
      <c r="D16" s="10" t="s">
        <v>12</v>
      </c>
      <c r="E16" s="10" t="s">
        <v>13</v>
      </c>
      <c r="F16" s="10"/>
      <c r="G16" s="13">
        <f>SUMIF([1]!Table3[Kode],[1]!Table1[[#This Row],[Kode]],[1]!Table3[Qty])</f>
        <v>5</v>
      </c>
      <c r="H16" s="13">
        <f>SUMIF([1]!Table35[Kode],[1]!Table1[[#This Row],[Kode]],[1]!Table35[Qty])</f>
        <v>0</v>
      </c>
      <c r="I16" s="14">
        <f>[1]!Table1[[#This Row],[Stock Awal]]+[1]!Table1[[#This Row],[Stok Masuk]]-[1]!Table1[[#This Row],[Stok Keluar]]</f>
        <v>5</v>
      </c>
    </row>
    <row r="17" spans="1:9" ht="17">
      <c r="A17" s="10" t="s">
        <v>38</v>
      </c>
      <c r="B17" s="11" t="s">
        <v>39</v>
      </c>
      <c r="C17" s="12">
        <v>27000</v>
      </c>
      <c r="D17" s="10" t="s">
        <v>12</v>
      </c>
      <c r="E17" s="10" t="s">
        <v>13</v>
      </c>
      <c r="F17" s="10"/>
      <c r="G17" s="13">
        <f>SUMIF([1]!Table3[Kode],[1]!Table1[[#This Row],[Kode]],[1]!Table3[Qty])</f>
        <v>5</v>
      </c>
      <c r="H17" s="13">
        <f>SUMIF([1]!Table35[Kode],[1]!Table1[[#This Row],[Kode]],[1]!Table35[Qty])</f>
        <v>5</v>
      </c>
      <c r="I17" s="14">
        <f>[1]!Table1[[#This Row],[Stock Awal]]+[1]!Table1[[#This Row],[Stok Masuk]]-[1]!Table1[[#This Row],[Stok Keluar]]</f>
        <v>0</v>
      </c>
    </row>
    <row r="18" spans="1:9" ht="17">
      <c r="A18" s="10" t="s">
        <v>40</v>
      </c>
      <c r="B18" s="11" t="s">
        <v>41</v>
      </c>
      <c r="C18" s="12">
        <v>27000</v>
      </c>
      <c r="D18" s="10" t="s">
        <v>12</v>
      </c>
      <c r="E18" s="10" t="s">
        <v>13</v>
      </c>
      <c r="F18" s="10"/>
      <c r="G18" s="13">
        <f>SUMIF([1]!Table3[Kode],[1]!Table1[[#This Row],[Kode]],[1]!Table3[Qty])</f>
        <v>5</v>
      </c>
      <c r="H18" s="13">
        <f>SUMIF([1]!Table35[Kode],[1]!Table1[[#This Row],[Kode]],[1]!Table35[Qty])</f>
        <v>3</v>
      </c>
      <c r="I18" s="16">
        <f>[1]!Table1[[#This Row],[Stock Awal]]+[1]!Table1[[#This Row],[Stok Masuk]]-[1]!Table1[[#This Row],[Stok Keluar]]</f>
        <v>2</v>
      </c>
    </row>
    <row r="19" spans="1:9" ht="17">
      <c r="A19" s="10" t="s">
        <v>42</v>
      </c>
      <c r="B19" s="11" t="s">
        <v>43</v>
      </c>
      <c r="C19" s="12">
        <v>27000</v>
      </c>
      <c r="D19" s="10" t="s">
        <v>12</v>
      </c>
      <c r="E19" s="10" t="s">
        <v>13</v>
      </c>
      <c r="F19" s="10"/>
      <c r="G19" s="13">
        <f>SUMIF([1]!Table3[Kode],[1]!Table1[[#This Row],[Kode]],[1]!Table3[Qty])</f>
        <v>5</v>
      </c>
      <c r="H19" s="13">
        <f>SUMIF([1]!Table35[Kode],[1]!Table1[[#This Row],[Kode]],[1]!Table35[Qty])</f>
        <v>5</v>
      </c>
      <c r="I19" s="16">
        <f>[1]!Table1[[#This Row],[Stock Awal]]+[1]!Table1[[#This Row],[Stok Masuk]]-[1]!Table1[[#This Row],[Stok Keluar]]</f>
        <v>0</v>
      </c>
    </row>
    <row r="20" spans="1:9" ht="17">
      <c r="A20" s="10" t="s">
        <v>44</v>
      </c>
      <c r="B20" s="11" t="s">
        <v>45</v>
      </c>
      <c r="C20" s="12">
        <v>27000</v>
      </c>
      <c r="D20" s="10" t="s">
        <v>12</v>
      </c>
      <c r="E20" s="10" t="s">
        <v>13</v>
      </c>
      <c r="F20" s="10"/>
      <c r="G20" s="13">
        <f>SUMIF([1]!Table3[Kode],[1]!Table1[[#This Row],[Kode]],[1]!Table3[Qty])</f>
        <v>5</v>
      </c>
      <c r="H20" s="13">
        <f>SUMIF([1]!Table35[Kode],[1]!Table1[[#This Row],[Kode]],[1]!Table35[Qty])</f>
        <v>4</v>
      </c>
      <c r="I20" s="16">
        <f>[1]!Table1[[#This Row],[Stock Awal]]+[1]!Table1[[#This Row],[Stok Masuk]]-[1]!Table1[[#This Row],[Stok Keluar]]</f>
        <v>1</v>
      </c>
    </row>
    <row r="21" spans="1:9" ht="17">
      <c r="A21" s="10" t="s">
        <v>46</v>
      </c>
      <c r="B21" s="11" t="s">
        <v>47</v>
      </c>
      <c r="C21" s="12">
        <v>22000</v>
      </c>
      <c r="D21" s="10" t="s">
        <v>12</v>
      </c>
      <c r="E21" s="10" t="s">
        <v>13</v>
      </c>
      <c r="F21" s="10"/>
      <c r="G21" s="13">
        <f>SUMIF([1]!Table3[Kode],[1]!Table1[[#This Row],[Kode]],[1]!Table3[Qty])</f>
        <v>15</v>
      </c>
      <c r="H21" s="13">
        <f>SUMIF([1]!Table35[Kode],[1]!Table1[[#This Row],[Kode]],[1]!Table35[Qty])</f>
        <v>3</v>
      </c>
      <c r="I21" s="16">
        <f>[1]!Table1[[#This Row],[Stock Awal]]+[1]!Table1[[#This Row],[Stok Masuk]]-[1]!Table1[[#This Row],[Stok Keluar]]</f>
        <v>12</v>
      </c>
    </row>
    <row r="22" spans="1:9" ht="17">
      <c r="A22" s="10" t="s">
        <v>48</v>
      </c>
      <c r="B22" s="11" t="s">
        <v>49</v>
      </c>
      <c r="C22" s="12">
        <v>22000</v>
      </c>
      <c r="D22" s="10" t="s">
        <v>12</v>
      </c>
      <c r="E22" s="10" t="s">
        <v>13</v>
      </c>
      <c r="F22" s="10">
        <v>2</v>
      </c>
      <c r="G22" s="13">
        <f>SUMIF([1]!Table3[Kode],[1]!Table1[[#This Row],[Kode]],[1]!Table3[Qty])</f>
        <v>35</v>
      </c>
      <c r="H22" s="13">
        <f>SUMIF([1]!Table35[Kode],[1]!Table1[[#This Row],[Kode]],[1]!Table35[Qty])</f>
        <v>30</v>
      </c>
      <c r="I22" s="16">
        <f>[1]!Table1[[#This Row],[Stock Awal]]+[1]!Table1[[#This Row],[Stok Masuk]]-[1]!Table1[[#This Row],[Stok Keluar]]</f>
        <v>7</v>
      </c>
    </row>
    <row r="23" spans="1:9" ht="17">
      <c r="A23" s="10" t="s">
        <v>50</v>
      </c>
      <c r="B23" s="11" t="s">
        <v>51</v>
      </c>
      <c r="C23" s="12">
        <v>22000</v>
      </c>
      <c r="D23" s="10" t="s">
        <v>12</v>
      </c>
      <c r="E23" s="10" t="s">
        <v>13</v>
      </c>
      <c r="F23" s="10">
        <v>1</v>
      </c>
      <c r="G23" s="13">
        <f>SUMIF([1]!Table3[Kode],[1]!Table1[[#This Row],[Kode]],[1]!Table3[Qty])</f>
        <v>15</v>
      </c>
      <c r="H23" s="13">
        <f>SUMIF([1]!Table35[Kode],[1]!Table1[[#This Row],[Kode]],[1]!Table35[Qty])</f>
        <v>11</v>
      </c>
      <c r="I23" s="16">
        <f>[1]!Table1[[#This Row],[Stock Awal]]+[1]!Table1[[#This Row],[Stok Masuk]]-[1]!Table1[[#This Row],[Stok Keluar]]</f>
        <v>5</v>
      </c>
    </row>
    <row r="24" spans="1:9" ht="17">
      <c r="A24" s="10" t="s">
        <v>52</v>
      </c>
      <c r="B24" s="11" t="s">
        <v>53</v>
      </c>
      <c r="C24" s="12">
        <v>22000</v>
      </c>
      <c r="D24" s="10" t="s">
        <v>12</v>
      </c>
      <c r="E24" s="10" t="s">
        <v>13</v>
      </c>
      <c r="F24" s="10"/>
      <c r="G24" s="13">
        <f>SUMIF([1]!Table3[Kode],[1]!Table1[[#This Row],[Kode]],[1]!Table3[Qty])</f>
        <v>25</v>
      </c>
      <c r="H24" s="13">
        <f>SUMIF([1]!Table35[Kode],[1]!Table1[[#This Row],[Kode]],[1]!Table35[Qty])</f>
        <v>19</v>
      </c>
      <c r="I24" s="16">
        <f>[1]!Table1[[#This Row],[Stock Awal]]+[1]!Table1[[#This Row],[Stok Masuk]]-[1]!Table1[[#This Row],[Stok Keluar]]</f>
        <v>6</v>
      </c>
    </row>
    <row r="25" spans="1:9" ht="34">
      <c r="A25" s="10" t="s">
        <v>54</v>
      </c>
      <c r="B25" s="11" t="s">
        <v>55</v>
      </c>
      <c r="C25" s="12">
        <v>22000</v>
      </c>
      <c r="D25" s="10" t="s">
        <v>12</v>
      </c>
      <c r="E25" s="10" t="s">
        <v>13</v>
      </c>
      <c r="F25" s="10"/>
      <c r="G25" s="13">
        <f>SUMIF([1]!Table3[Kode],[1]!Table1[[#This Row],[Kode]],[1]!Table3[Qty])</f>
        <v>10</v>
      </c>
      <c r="H25" s="13">
        <f>SUMIF([1]!Table35[Kode],[1]!Table1[[#This Row],[Kode]],[1]!Table35[Qty])</f>
        <v>4</v>
      </c>
      <c r="I25" s="16">
        <f>[1]!Table1[[#This Row],[Stock Awal]]+[1]!Table1[[#This Row],[Stok Masuk]]-[1]!Table1[[#This Row],[Stok Keluar]]</f>
        <v>6</v>
      </c>
    </row>
    <row r="26" spans="1:9" ht="17">
      <c r="A26" s="10" t="s">
        <v>56</v>
      </c>
      <c r="B26" s="11" t="s">
        <v>57</v>
      </c>
      <c r="C26" s="12">
        <v>22000</v>
      </c>
      <c r="D26" s="10" t="s">
        <v>12</v>
      </c>
      <c r="E26" s="10" t="s">
        <v>13</v>
      </c>
      <c r="F26" s="10"/>
      <c r="G26" s="13">
        <f>SUMIF([1]!Table3[Kode],[1]!Table1[[#This Row],[Kode]],[1]!Table3[Qty])</f>
        <v>15</v>
      </c>
      <c r="H26" s="13">
        <f>SUMIF([1]!Table35[Kode],[1]!Table1[[#This Row],[Kode]],[1]!Table35[Qty])</f>
        <v>8</v>
      </c>
      <c r="I26" s="16">
        <f>[1]!Table1[[#This Row],[Stock Awal]]+[1]!Table1[[#This Row],[Stok Masuk]]-[1]!Table1[[#This Row],[Stok Keluar]]</f>
        <v>7</v>
      </c>
    </row>
    <row r="27" spans="1:9" ht="17">
      <c r="A27" s="10" t="s">
        <v>58</v>
      </c>
      <c r="B27" s="11" t="s">
        <v>59</v>
      </c>
      <c r="C27" s="12">
        <v>22000</v>
      </c>
      <c r="D27" s="10" t="s">
        <v>12</v>
      </c>
      <c r="E27" s="10" t="s">
        <v>13</v>
      </c>
      <c r="F27" s="10">
        <v>3</v>
      </c>
      <c r="G27" s="13">
        <f>SUMIF([1]!Table3[Kode],[1]!Table1[[#This Row],[Kode]],[1]!Table3[Qty])</f>
        <v>35</v>
      </c>
      <c r="H27" s="13">
        <f>SUMIF([1]!Table35[Kode],[1]!Table1[[#This Row],[Kode]],[1]!Table35[Qty])</f>
        <v>37</v>
      </c>
      <c r="I27" s="16">
        <f>[1]!Table1[[#This Row],[Stock Awal]]+[1]!Table1[[#This Row],[Stok Masuk]]-[1]!Table1[[#This Row],[Stok Keluar]]</f>
        <v>1</v>
      </c>
    </row>
    <row r="28" spans="1:9" ht="17">
      <c r="A28" s="10" t="s">
        <v>60</v>
      </c>
      <c r="B28" s="11" t="s">
        <v>61</v>
      </c>
      <c r="C28" s="12">
        <v>22000</v>
      </c>
      <c r="D28" s="10" t="s">
        <v>12</v>
      </c>
      <c r="E28" s="10" t="s">
        <v>13</v>
      </c>
      <c r="F28" s="10"/>
      <c r="G28" s="13">
        <f>SUMIF([1]!Table3[Kode],[1]!Table1[[#This Row],[Kode]],[1]!Table3[Qty])</f>
        <v>15</v>
      </c>
      <c r="H28" s="13">
        <f>SUMIF([1]!Table35[Kode],[1]!Table1[[#This Row],[Kode]],[1]!Table35[Qty])</f>
        <v>-2</v>
      </c>
      <c r="I28" s="16">
        <f>[1]!Table1[[#This Row],[Stock Awal]]+[1]!Table1[[#This Row],[Stok Masuk]]-[1]!Table1[[#This Row],[Stok Keluar]]</f>
        <v>17</v>
      </c>
    </row>
    <row r="29" spans="1:9" ht="17">
      <c r="A29" s="10" t="s">
        <v>62</v>
      </c>
      <c r="B29" s="11" t="s">
        <v>63</v>
      </c>
      <c r="C29" s="12">
        <v>22000</v>
      </c>
      <c r="D29" s="10" t="s">
        <v>12</v>
      </c>
      <c r="E29" s="10" t="s">
        <v>13</v>
      </c>
      <c r="F29" s="10"/>
      <c r="G29" s="13">
        <f>SUMIF([1]!Table3[Kode],[1]!Table1[[#This Row],[Kode]],[1]!Table3[Qty])</f>
        <v>15</v>
      </c>
      <c r="H29" s="13">
        <f>SUMIF([1]!Table35[Kode],[1]!Table1[[#This Row],[Kode]],[1]!Table35[Qty])</f>
        <v>6</v>
      </c>
      <c r="I29" s="16">
        <f>[1]!Table1[[#This Row],[Stock Awal]]+[1]!Table1[[#This Row],[Stok Masuk]]-[1]!Table1[[#This Row],[Stok Keluar]]</f>
        <v>9</v>
      </c>
    </row>
    <row r="30" spans="1:9" ht="17">
      <c r="A30" s="10" t="s">
        <v>64</v>
      </c>
      <c r="B30" s="11" t="s">
        <v>65</v>
      </c>
      <c r="C30" s="12">
        <v>22000</v>
      </c>
      <c r="D30" s="10" t="s">
        <v>12</v>
      </c>
      <c r="E30" s="10" t="s">
        <v>13</v>
      </c>
      <c r="F30" s="10"/>
      <c r="G30" s="13">
        <f>SUMIF([1]!Table3[Kode],[1]!Table1[[#This Row],[Kode]],[1]!Table3[Qty])</f>
        <v>12</v>
      </c>
      <c r="H30" s="13">
        <f>SUMIF([1]!Table35[Kode],[1]!Table1[[#This Row],[Kode]],[1]!Table35[Qty])</f>
        <v>9</v>
      </c>
      <c r="I30" s="14">
        <f>[1]!Table1[[#This Row],[Stock Awal]]+[1]!Table1[[#This Row],[Stok Masuk]]-[1]!Table1[[#This Row],[Stok Keluar]]</f>
        <v>3</v>
      </c>
    </row>
    <row r="31" spans="1:9" ht="17">
      <c r="A31" s="10" t="s">
        <v>66</v>
      </c>
      <c r="B31" s="11" t="s">
        <v>67</v>
      </c>
      <c r="C31" s="12">
        <v>24000</v>
      </c>
      <c r="D31" s="10" t="s">
        <v>12</v>
      </c>
      <c r="E31" s="10" t="s">
        <v>13</v>
      </c>
      <c r="F31" s="10"/>
      <c r="G31" s="13">
        <f>SUMIF([1]!Table3[Kode],[1]!Table1[[#This Row],[Kode]],[1]!Table3[Qty])</f>
        <v>5</v>
      </c>
      <c r="H31" s="13">
        <f>SUMIF([1]!Table35[Kode],[1]!Table1[[#This Row],[Kode]],[1]!Table35[Qty])</f>
        <v>0</v>
      </c>
      <c r="I31" s="14">
        <f>[1]!Table1[[#This Row],[Stock Awal]]+[1]!Table1[[#This Row],[Stok Masuk]]-[1]!Table1[[#This Row],[Stok Keluar]]</f>
        <v>5</v>
      </c>
    </row>
    <row r="32" spans="1:9" ht="17">
      <c r="A32" s="10" t="s">
        <v>68</v>
      </c>
      <c r="B32" s="11" t="s">
        <v>69</v>
      </c>
      <c r="C32" s="12">
        <v>24000</v>
      </c>
      <c r="D32" s="10" t="s">
        <v>12</v>
      </c>
      <c r="E32" s="10" t="s">
        <v>13</v>
      </c>
      <c r="F32" s="10"/>
      <c r="G32" s="13">
        <f>SUMIF([1]!Table3[Kode],[1]!Table1[[#This Row],[Kode]],[1]!Table3[Qty])</f>
        <v>5</v>
      </c>
      <c r="H32" s="13">
        <f>SUMIF([1]!Table35[Kode],[1]!Table1[[#This Row],[Kode]],[1]!Table35[Qty])</f>
        <v>0</v>
      </c>
      <c r="I32" s="14">
        <f>[1]!Table1[[#This Row],[Stock Awal]]+[1]!Table1[[#This Row],[Stok Masuk]]-[1]!Table1[[#This Row],[Stok Keluar]]</f>
        <v>5</v>
      </c>
    </row>
    <row r="33" spans="1:9" ht="17">
      <c r="A33" s="10" t="s">
        <v>70</v>
      </c>
      <c r="B33" s="11" t="s">
        <v>71</v>
      </c>
      <c r="C33" s="12">
        <v>24000</v>
      </c>
      <c r="D33" s="10" t="s">
        <v>12</v>
      </c>
      <c r="E33" s="10" t="s">
        <v>13</v>
      </c>
      <c r="F33" s="10"/>
      <c r="G33" s="13">
        <f>SUMIF([1]!Table3[Kode],[1]!Table1[[#This Row],[Kode]],[1]!Table3[Qty])</f>
        <v>5</v>
      </c>
      <c r="H33" s="13">
        <f>SUMIF([1]!Table35[Kode],[1]!Table1[[#This Row],[Kode]],[1]!Table35[Qty])</f>
        <v>0</v>
      </c>
      <c r="I33" s="14">
        <f>[1]!Table1[[#This Row],[Stock Awal]]+[1]!Table1[[#This Row],[Stok Masuk]]-[1]!Table1[[#This Row],[Stok Keluar]]</f>
        <v>5</v>
      </c>
    </row>
    <row r="34" spans="1:9" ht="17">
      <c r="A34" s="10" t="s">
        <v>72</v>
      </c>
      <c r="B34" s="11" t="s">
        <v>73</v>
      </c>
      <c r="C34" s="12">
        <v>32000</v>
      </c>
      <c r="D34" s="10" t="s">
        <v>12</v>
      </c>
      <c r="E34" s="10" t="s">
        <v>13</v>
      </c>
      <c r="F34" s="10"/>
      <c r="G34" s="13">
        <f>SUMIF([1]!Table3[Kode],[1]!Table1[[#This Row],[Kode]],[1]!Table3[Qty])</f>
        <v>5</v>
      </c>
      <c r="H34" s="13">
        <f>SUMIF([1]!Table35[Kode],[1]!Table1[[#This Row],[Kode]],[1]!Table35[Qty])</f>
        <v>3</v>
      </c>
      <c r="I34" s="14">
        <f>[1]!Table1[[#This Row],[Stock Awal]]+[1]!Table1[[#This Row],[Stok Masuk]]-[1]!Table1[[#This Row],[Stok Keluar]]</f>
        <v>2</v>
      </c>
    </row>
    <row r="35" spans="1:9" ht="17">
      <c r="A35" s="10" t="s">
        <v>74</v>
      </c>
      <c r="B35" s="11" t="s">
        <v>75</v>
      </c>
      <c r="C35" s="12">
        <v>32000</v>
      </c>
      <c r="D35" s="10" t="s">
        <v>12</v>
      </c>
      <c r="E35" s="10" t="s">
        <v>13</v>
      </c>
      <c r="F35" s="10"/>
      <c r="G35" s="13">
        <f>SUMIF([1]!Table3[Kode],[1]!Table1[[#This Row],[Kode]],[1]!Table3[Qty])</f>
        <v>5</v>
      </c>
      <c r="H35" s="13">
        <f>SUMIF([1]!Table35[Kode],[1]!Table1[[#This Row],[Kode]],[1]!Table35[Qty])</f>
        <v>1</v>
      </c>
      <c r="I35" s="14">
        <f>[1]!Table1[[#This Row],[Stock Awal]]+[1]!Table1[[#This Row],[Stok Masuk]]-[1]!Table1[[#This Row],[Stok Keluar]]</f>
        <v>4</v>
      </c>
    </row>
    <row r="36" spans="1:9" ht="17">
      <c r="A36" s="10" t="s">
        <v>76</v>
      </c>
      <c r="B36" s="11" t="s">
        <v>77</v>
      </c>
      <c r="C36" s="12">
        <v>37500</v>
      </c>
      <c r="D36" s="10" t="s">
        <v>12</v>
      </c>
      <c r="E36" s="10" t="s">
        <v>13</v>
      </c>
      <c r="F36" s="10"/>
      <c r="G36" s="13">
        <f>SUMIF([1]!Table3[Kode],[1]!Table1[[#This Row],[Kode]],[1]!Table3[Qty])</f>
        <v>7</v>
      </c>
      <c r="H36" s="13">
        <f>SUMIF([1]!Table35[Kode],[1]!Table1[[#This Row],[Kode]],[1]!Table35[Qty])</f>
        <v>5</v>
      </c>
      <c r="I36" s="14">
        <f>[1]!Table1[[#This Row],[Stock Awal]]+[1]!Table1[[#This Row],[Stok Masuk]]-[1]!Table1[[#This Row],[Stok Keluar]]</f>
        <v>2</v>
      </c>
    </row>
    <row r="37" spans="1:9" ht="17">
      <c r="A37" s="10" t="s">
        <v>78</v>
      </c>
      <c r="B37" s="11" t="s">
        <v>79</v>
      </c>
      <c r="C37" s="12">
        <v>37500</v>
      </c>
      <c r="D37" s="10" t="s">
        <v>12</v>
      </c>
      <c r="E37" s="10" t="s">
        <v>13</v>
      </c>
      <c r="F37" s="10"/>
      <c r="G37" s="13">
        <f>SUMIF([1]!Table3[Kode],[1]!Table1[[#This Row],[Kode]],[1]!Table3[Qty])</f>
        <v>5</v>
      </c>
      <c r="H37" s="13">
        <f>SUMIF([1]!Table35[Kode],[1]!Table1[[#This Row],[Kode]],[1]!Table35[Qty])</f>
        <v>1</v>
      </c>
      <c r="I37" s="14">
        <f>[1]!Table1[[#This Row],[Stock Awal]]+[1]!Table1[[#This Row],[Stok Masuk]]-[1]!Table1[[#This Row],[Stok Keluar]]</f>
        <v>4</v>
      </c>
    </row>
    <row r="38" spans="1:9" ht="17">
      <c r="A38" s="10" t="s">
        <v>80</v>
      </c>
      <c r="B38" s="11" t="s">
        <v>81</v>
      </c>
      <c r="C38" s="12">
        <v>37500</v>
      </c>
      <c r="D38" s="10" t="s">
        <v>12</v>
      </c>
      <c r="E38" s="10" t="s">
        <v>13</v>
      </c>
      <c r="F38" s="10"/>
      <c r="G38" s="13">
        <f>SUMIF([1]!Table3[Kode],[1]!Table1[[#This Row],[Kode]],[1]!Table3[Qty])</f>
        <v>7</v>
      </c>
      <c r="H38" s="13">
        <f>SUMIF([1]!Table35[Kode],[1]!Table1[[#This Row],[Kode]],[1]!Table35[Qty])</f>
        <v>3</v>
      </c>
      <c r="I38" s="14">
        <f>[1]!Table1[[#This Row],[Stock Awal]]+[1]!Table1[[#This Row],[Stok Masuk]]-[1]!Table1[[#This Row],[Stok Keluar]]</f>
        <v>4</v>
      </c>
    </row>
    <row r="39" spans="1:9" ht="17">
      <c r="A39" s="10" t="s">
        <v>82</v>
      </c>
      <c r="B39" s="11" t="s">
        <v>83</v>
      </c>
      <c r="C39" s="12">
        <v>37500</v>
      </c>
      <c r="D39" s="10" t="s">
        <v>12</v>
      </c>
      <c r="E39" s="10" t="s">
        <v>13</v>
      </c>
      <c r="F39" s="10"/>
      <c r="G39" s="13">
        <f>SUMIF([1]!Table3[Kode],[1]!Table1[[#This Row],[Kode]],[1]!Table3[Qty])</f>
        <v>7</v>
      </c>
      <c r="H39" s="13">
        <f>SUMIF([1]!Table35[Kode],[1]!Table1[[#This Row],[Kode]],[1]!Table35[Qty])</f>
        <v>5</v>
      </c>
      <c r="I39" s="14">
        <f>[1]!Table1[[#This Row],[Stock Awal]]+[1]!Table1[[#This Row],[Stok Masuk]]-[1]!Table1[[#This Row],[Stok Keluar]]</f>
        <v>2</v>
      </c>
    </row>
    <row r="40" spans="1:9" ht="17">
      <c r="A40" s="10" t="s">
        <v>84</v>
      </c>
      <c r="B40" s="11" t="s">
        <v>85</v>
      </c>
      <c r="C40" s="12">
        <v>28000</v>
      </c>
      <c r="D40" s="10" t="s">
        <v>12</v>
      </c>
      <c r="E40" s="10" t="s">
        <v>13</v>
      </c>
      <c r="F40" s="10"/>
      <c r="G40" s="13">
        <f>SUMIF([1]!Table3[Kode],[1]!Table1[[#This Row],[Kode]],[1]!Table3[Qty])</f>
        <v>8</v>
      </c>
      <c r="H40" s="13">
        <f>SUMIF([1]!Table35[Kode],[1]!Table1[[#This Row],[Kode]],[1]!Table35[Qty])</f>
        <v>5</v>
      </c>
      <c r="I40" s="14">
        <f>[1]!Table1[[#This Row],[Stock Awal]]+[1]!Table1[[#This Row],[Stok Masuk]]-[1]!Table1[[#This Row],[Stok Keluar]]</f>
        <v>3</v>
      </c>
    </row>
    <row r="41" spans="1:9" ht="17">
      <c r="A41" s="10" t="s">
        <v>86</v>
      </c>
      <c r="B41" s="11" t="s">
        <v>87</v>
      </c>
      <c r="C41" s="12">
        <v>28000</v>
      </c>
      <c r="D41" s="10" t="s">
        <v>12</v>
      </c>
      <c r="E41" s="10" t="s">
        <v>13</v>
      </c>
      <c r="F41" s="10"/>
      <c r="G41" s="13">
        <f>SUMIF([1]!Table3[Kode],[1]!Table1[[#This Row],[Kode]],[1]!Table3[Qty])</f>
        <v>5</v>
      </c>
      <c r="H41" s="13">
        <f>SUMIF([1]!Table35[Kode],[1]!Table1[[#This Row],[Kode]],[1]!Table35[Qty])</f>
        <v>3</v>
      </c>
      <c r="I41" s="14">
        <f>[1]!Table1[[#This Row],[Stock Awal]]+[1]!Table1[[#This Row],[Stok Masuk]]-[1]!Table1[[#This Row],[Stok Keluar]]</f>
        <v>2</v>
      </c>
    </row>
    <row r="42" spans="1:9" ht="17">
      <c r="A42" s="10" t="s">
        <v>88</v>
      </c>
      <c r="B42" s="11" t="s">
        <v>89</v>
      </c>
      <c r="C42" s="12">
        <v>28000</v>
      </c>
      <c r="D42" s="10" t="s">
        <v>12</v>
      </c>
      <c r="E42" s="10" t="s">
        <v>13</v>
      </c>
      <c r="F42" s="10"/>
      <c r="G42" s="13">
        <f>SUMIF([1]!Table3[Kode],[1]!Table1[[#This Row],[Kode]],[1]!Table3[Qty])</f>
        <v>5</v>
      </c>
      <c r="H42" s="13">
        <f>SUMIF([1]!Table35[Kode],[1]!Table1[[#This Row],[Kode]],[1]!Table35[Qty])</f>
        <v>5</v>
      </c>
      <c r="I42" s="14">
        <f>[1]!Table1[[#This Row],[Stock Awal]]+[1]!Table1[[#This Row],[Stok Masuk]]-[1]!Table1[[#This Row],[Stok Keluar]]</f>
        <v>0</v>
      </c>
    </row>
    <row r="43" spans="1:9" ht="17">
      <c r="A43" s="10" t="s">
        <v>90</v>
      </c>
      <c r="B43" s="11" t="s">
        <v>91</v>
      </c>
      <c r="C43" s="12">
        <v>28000</v>
      </c>
      <c r="D43" s="10" t="s">
        <v>12</v>
      </c>
      <c r="E43" s="10" t="s">
        <v>13</v>
      </c>
      <c r="F43" s="10"/>
      <c r="G43" s="13">
        <f>SUMIF([1]!Table3[Kode],[1]!Table1[[#This Row],[Kode]],[1]!Table3[Qty])</f>
        <v>8</v>
      </c>
      <c r="H43" s="13">
        <f>SUMIF([1]!Table35[Kode],[1]!Table1[[#This Row],[Kode]],[1]!Table35[Qty])</f>
        <v>5</v>
      </c>
      <c r="I43" s="14">
        <f>[1]!Table1[[#This Row],[Stock Awal]]+[1]!Table1[[#This Row],[Stok Masuk]]-[1]!Table1[[#This Row],[Stok Keluar]]</f>
        <v>3</v>
      </c>
    </row>
    <row r="44" spans="1:9" ht="17">
      <c r="A44" s="10" t="s">
        <v>92</v>
      </c>
      <c r="B44" s="11" t="s">
        <v>93</v>
      </c>
      <c r="C44" s="12">
        <v>28000</v>
      </c>
      <c r="D44" s="10" t="s">
        <v>12</v>
      </c>
      <c r="E44" s="10" t="s">
        <v>13</v>
      </c>
      <c r="F44" s="10"/>
      <c r="G44" s="13">
        <f>SUMIF([1]!Table3[Kode],[1]!Table1[[#This Row],[Kode]],[1]!Table3[Qty])</f>
        <v>5</v>
      </c>
      <c r="H44" s="13">
        <f>SUMIF([1]!Table35[Kode],[1]!Table1[[#This Row],[Kode]],[1]!Table35[Qty])</f>
        <v>5</v>
      </c>
      <c r="I44" s="14">
        <f>[1]!Table1[[#This Row],[Stock Awal]]+[1]!Table1[[#This Row],[Stok Masuk]]-[1]!Table1[[#This Row],[Stok Keluar]]</f>
        <v>0</v>
      </c>
    </row>
    <row r="45" spans="1:9" ht="17">
      <c r="A45" s="10" t="s">
        <v>94</v>
      </c>
      <c r="B45" s="11" t="s">
        <v>95</v>
      </c>
      <c r="C45" s="12">
        <v>25000</v>
      </c>
      <c r="D45" s="10" t="s">
        <v>96</v>
      </c>
      <c r="E45" s="10" t="s">
        <v>97</v>
      </c>
      <c r="F45" s="10"/>
      <c r="G45" s="13">
        <f>SUMIF([1]!Table3[Kode],[1]!Table1[[#This Row],[Kode]],[1]!Table3[Qty])</f>
        <v>10</v>
      </c>
      <c r="H45" s="13">
        <f>SUMIF([1]!Table35[Kode],[1]!Table1[[#This Row],[Kode]],[1]!Table35[Qty])</f>
        <v>9</v>
      </c>
      <c r="I45" s="14">
        <f>[1]!Table1[[#This Row],[Stock Awal]]+[1]!Table1[[#This Row],[Stok Masuk]]-[1]!Table1[[#This Row],[Stok Keluar]]</f>
        <v>1</v>
      </c>
    </row>
    <row r="46" spans="1:9" ht="17">
      <c r="A46" s="10" t="s">
        <v>98</v>
      </c>
      <c r="B46" s="11" t="s">
        <v>99</v>
      </c>
      <c r="C46" s="12">
        <v>25000</v>
      </c>
      <c r="D46" s="10" t="s">
        <v>96</v>
      </c>
      <c r="E46" s="10" t="s">
        <v>97</v>
      </c>
      <c r="F46" s="10"/>
      <c r="G46" s="13">
        <f>SUMIF([1]!Table3[Kode],[1]!Table1[[#This Row],[Kode]],[1]!Table3[Qty])</f>
        <v>0</v>
      </c>
      <c r="H46" s="13">
        <f>SUMIF([1]!Table35[Kode],[1]!Table1[[#This Row],[Kode]],[1]!Table35[Qty])</f>
        <v>0</v>
      </c>
      <c r="I46" s="14">
        <f>[1]!Table1[[#This Row],[Stock Awal]]+[1]!Table1[[#This Row],[Stok Masuk]]-[1]!Table1[[#This Row],[Stok Keluar]]</f>
        <v>0</v>
      </c>
    </row>
    <row r="47" spans="1:9" ht="17">
      <c r="A47" s="10" t="s">
        <v>100</v>
      </c>
      <c r="B47" s="11" t="s">
        <v>101</v>
      </c>
      <c r="C47" s="12">
        <v>29000</v>
      </c>
      <c r="D47" s="10" t="s">
        <v>12</v>
      </c>
      <c r="E47" s="10" t="s">
        <v>13</v>
      </c>
      <c r="F47" s="10">
        <v>1</v>
      </c>
      <c r="G47" s="13">
        <f>SUMIF([1]!Table3[Kode],[1]!Table1[[#This Row],[Kode]],[1]!Table3[Qty])</f>
        <v>15</v>
      </c>
      <c r="H47" s="13">
        <f>SUMIF([1]!Table35[Kode],[1]!Table1[[#This Row],[Kode]],[1]!Table35[Qty])</f>
        <v>6</v>
      </c>
      <c r="I47" s="14">
        <f>[1]!Table1[[#This Row],[Stock Awal]]+[1]!Table1[[#This Row],[Stok Masuk]]-[1]!Table1[[#This Row],[Stok Keluar]]</f>
        <v>10</v>
      </c>
    </row>
    <row r="48" spans="1:9" ht="17">
      <c r="A48" s="10" t="s">
        <v>102</v>
      </c>
      <c r="B48" s="11" t="s">
        <v>103</v>
      </c>
      <c r="C48" s="12">
        <v>29000</v>
      </c>
      <c r="D48" s="10" t="s">
        <v>12</v>
      </c>
      <c r="E48" s="10" t="s">
        <v>13</v>
      </c>
      <c r="F48" s="10"/>
      <c r="G48" s="13">
        <f>SUMIF([1]!Table3[Kode],[1]!Table1[[#This Row],[Kode]],[1]!Table3[Qty])</f>
        <v>5</v>
      </c>
      <c r="H48" s="13">
        <f>SUMIF([1]!Table35[Kode],[1]!Table1[[#This Row],[Kode]],[1]!Table35[Qty])</f>
        <v>2</v>
      </c>
      <c r="I48" s="14">
        <f>[1]!Table1[[#This Row],[Stock Awal]]+[1]!Table1[[#This Row],[Stok Masuk]]-[1]!Table1[[#This Row],[Stok Keluar]]</f>
        <v>3</v>
      </c>
    </row>
    <row r="49" spans="1:9" ht="17">
      <c r="A49" s="10" t="s">
        <v>104</v>
      </c>
      <c r="B49" s="11" t="s">
        <v>105</v>
      </c>
      <c r="C49" s="12">
        <v>19000</v>
      </c>
      <c r="D49" s="10" t="s">
        <v>12</v>
      </c>
      <c r="E49" s="10" t="s">
        <v>97</v>
      </c>
      <c r="F49" s="10"/>
      <c r="G49" s="13">
        <f>SUMIF([1]!Table3[Kode],[1]!Table1[[#This Row],[Kode]],[1]!Table3[Qty])</f>
        <v>6</v>
      </c>
      <c r="H49" s="13">
        <f>SUMIF([1]!Table35[Kode],[1]!Table1[[#This Row],[Kode]],[1]!Table35[Qty])</f>
        <v>4</v>
      </c>
      <c r="I49" s="14">
        <f>[1]!Table1[[#This Row],[Stock Awal]]+[1]!Table1[[#This Row],[Stok Masuk]]-[1]!Table1[[#This Row],[Stok Keluar]]</f>
        <v>2</v>
      </c>
    </row>
    <row r="50" spans="1:9" ht="17">
      <c r="A50" s="10" t="s">
        <v>106</v>
      </c>
      <c r="B50" s="11" t="s">
        <v>107</v>
      </c>
      <c r="C50" s="12">
        <v>19000</v>
      </c>
      <c r="D50" s="10" t="s">
        <v>12</v>
      </c>
      <c r="E50" s="10" t="s">
        <v>97</v>
      </c>
      <c r="F50" s="10"/>
      <c r="G50" s="13">
        <f>SUMIF([1]!Table3[Kode],[1]!Table1[[#This Row],[Kode]],[1]!Table3[Qty])</f>
        <v>6</v>
      </c>
      <c r="H50" s="13">
        <f>SUMIF([1]!Table35[Kode],[1]!Table1[[#This Row],[Kode]],[1]!Table35[Qty])</f>
        <v>4</v>
      </c>
      <c r="I50" s="14">
        <f>[1]!Table1[[#This Row],[Stock Awal]]+[1]!Table1[[#This Row],[Stok Masuk]]-[1]!Table1[[#This Row],[Stok Keluar]]</f>
        <v>2</v>
      </c>
    </row>
    <row r="51" spans="1:9" ht="17">
      <c r="A51" s="10" t="s">
        <v>108</v>
      </c>
      <c r="B51" s="11" t="s">
        <v>109</v>
      </c>
      <c r="C51" s="12">
        <v>20000</v>
      </c>
      <c r="D51" s="10" t="s">
        <v>12</v>
      </c>
      <c r="E51" s="10" t="s">
        <v>13</v>
      </c>
      <c r="F51" s="10"/>
      <c r="G51" s="13">
        <f>SUMIF([1]!Table3[Kode],[1]!Table1[[#This Row],[Kode]],[1]!Table3[Qty])</f>
        <v>10</v>
      </c>
      <c r="H51" s="13">
        <f>SUMIF([1]!Table35[Kode],[1]!Table1[[#This Row],[Kode]],[1]!Table35[Qty])</f>
        <v>5</v>
      </c>
      <c r="I51" s="14">
        <f>[1]!Table1[[#This Row],[Stock Awal]]+[1]!Table1[[#This Row],[Stok Masuk]]-[1]!Table1[[#This Row],[Stok Keluar]]</f>
        <v>5</v>
      </c>
    </row>
    <row r="52" spans="1:9" ht="17">
      <c r="A52" s="10" t="s">
        <v>110</v>
      </c>
      <c r="B52" s="11" t="s">
        <v>111</v>
      </c>
      <c r="C52" s="17">
        <v>19000</v>
      </c>
      <c r="D52" s="10" t="s">
        <v>12</v>
      </c>
      <c r="E52" s="10" t="s">
        <v>13</v>
      </c>
      <c r="F52" s="10"/>
      <c r="G52" s="13">
        <f>SUMIF([1]!Table3[Kode],[1]!Table1[[#This Row],[Kode]],[1]!Table3[Qty])</f>
        <v>10</v>
      </c>
      <c r="H52" s="13">
        <f>SUMIF([1]!Table35[Kode],[1]!Table1[[#This Row],[Kode]],[1]!Table35[Qty])</f>
        <v>5</v>
      </c>
      <c r="I52" s="14">
        <f>[1]!Table1[[#This Row],[Stock Awal]]+[1]!Table1[[#This Row],[Stok Masuk]]-[1]!Table1[[#This Row],[Stok Keluar]]</f>
        <v>5</v>
      </c>
    </row>
    <row r="53" spans="1:9" ht="17">
      <c r="A53" s="10" t="s">
        <v>112</v>
      </c>
      <c r="B53" s="11" t="s">
        <v>113</v>
      </c>
      <c r="C53" s="17">
        <v>19000</v>
      </c>
      <c r="D53" s="10" t="s">
        <v>12</v>
      </c>
      <c r="E53" s="10" t="s">
        <v>13</v>
      </c>
      <c r="F53" s="10"/>
      <c r="G53" s="13">
        <f>SUMIF([1]!Table3[Kode],[1]!Table1[[#This Row],[Kode]],[1]!Table3[Qty])</f>
        <v>5</v>
      </c>
      <c r="H53" s="13">
        <f>SUMIF([1]!Table35[Kode],[1]!Table1[[#This Row],[Kode]],[1]!Table35[Qty])</f>
        <v>0</v>
      </c>
      <c r="I53" s="14">
        <f>[1]!Table1[[#This Row],[Stock Awal]]+[1]!Table1[[#This Row],[Stok Masuk]]-[1]!Table1[[#This Row],[Stok Keluar]]</f>
        <v>5</v>
      </c>
    </row>
    <row r="54" spans="1:9" ht="17">
      <c r="A54" s="10" t="s">
        <v>114</v>
      </c>
      <c r="B54" s="11" t="s">
        <v>115</v>
      </c>
      <c r="C54" s="17">
        <v>19000</v>
      </c>
      <c r="D54" s="10" t="s">
        <v>12</v>
      </c>
      <c r="E54" s="10" t="s">
        <v>13</v>
      </c>
      <c r="F54" s="10"/>
      <c r="G54" s="13">
        <f>SUMIF([1]!Table3[Kode],[1]!Table1[[#This Row],[Kode]],[1]!Table3[Qty])</f>
        <v>8</v>
      </c>
      <c r="H54" s="13">
        <f>SUMIF([1]!Table35[Kode],[1]!Table1[[#This Row],[Kode]],[1]!Table35[Qty])</f>
        <v>5</v>
      </c>
      <c r="I54" s="14">
        <f>[1]!Table1[[#This Row],[Stock Awal]]+[1]!Table1[[#This Row],[Stok Masuk]]-[1]!Table1[[#This Row],[Stok Keluar]]</f>
        <v>3</v>
      </c>
    </row>
    <row r="55" spans="1:9" ht="17">
      <c r="A55" s="10" t="s">
        <v>116</v>
      </c>
      <c r="B55" s="11" t="s">
        <v>117</v>
      </c>
      <c r="C55" s="17">
        <v>19000</v>
      </c>
      <c r="D55" s="10" t="s">
        <v>12</v>
      </c>
      <c r="E55" s="10" t="s">
        <v>13</v>
      </c>
      <c r="F55" s="10">
        <v>1</v>
      </c>
      <c r="G55" s="13">
        <f>SUMIF([1]!Table3[Kode],[1]!Table1[[#This Row],[Kode]],[1]!Table3[Qty])</f>
        <v>3</v>
      </c>
      <c r="H55" s="13">
        <f>SUMIF([1]!Table35[Kode],[1]!Table1[[#This Row],[Kode]],[1]!Table35[Qty])</f>
        <v>1</v>
      </c>
      <c r="I55" s="14">
        <f>[1]!Table1[[#This Row],[Stock Awal]]+[1]!Table1[[#This Row],[Stok Masuk]]-[1]!Table1[[#This Row],[Stok Keluar]]</f>
        <v>3</v>
      </c>
    </row>
    <row r="56" spans="1:9" ht="17">
      <c r="A56" s="10" t="s">
        <v>118</v>
      </c>
      <c r="B56" s="11" t="s">
        <v>119</v>
      </c>
      <c r="C56" s="17">
        <v>19000</v>
      </c>
      <c r="D56" s="10" t="s">
        <v>12</v>
      </c>
      <c r="E56" s="10" t="s">
        <v>13</v>
      </c>
      <c r="F56" s="10"/>
      <c r="G56" s="13">
        <f>SUMIF([1]!Table3[Kode],[1]!Table1[[#This Row],[Kode]],[1]!Table3[Qty])</f>
        <v>5</v>
      </c>
      <c r="H56" s="13">
        <f>SUMIF([1]!Table35[Kode],[1]!Table1[[#This Row],[Kode]],[1]!Table35[Qty])</f>
        <v>2</v>
      </c>
      <c r="I56" s="14">
        <f>[1]!Table1[[#This Row],[Stock Awal]]+[1]!Table1[[#This Row],[Stok Masuk]]-[1]!Table1[[#This Row],[Stok Keluar]]</f>
        <v>3</v>
      </c>
    </row>
    <row r="57" spans="1:9" ht="17">
      <c r="A57" s="10" t="s">
        <v>120</v>
      </c>
      <c r="B57" s="11" t="s">
        <v>121</v>
      </c>
      <c r="C57" s="17">
        <v>19000</v>
      </c>
      <c r="D57" s="10" t="s">
        <v>12</v>
      </c>
      <c r="E57" s="10" t="s">
        <v>13</v>
      </c>
      <c r="F57" s="10"/>
      <c r="G57" s="13">
        <f>SUMIF([1]!Table3[Kode],[1]!Table1[[#This Row],[Kode]],[1]!Table3[Qty])</f>
        <v>5</v>
      </c>
      <c r="H57" s="13">
        <f>SUMIF([1]!Table35[Kode],[1]!Table1[[#This Row],[Kode]],[1]!Table35[Qty])</f>
        <v>1</v>
      </c>
      <c r="I57" s="14">
        <f>[1]!Table1[[#This Row],[Stock Awal]]+[1]!Table1[[#This Row],[Stok Masuk]]-[1]!Table1[[#This Row],[Stok Keluar]]</f>
        <v>4</v>
      </c>
    </row>
    <row r="58" spans="1:9" ht="17">
      <c r="A58" s="10" t="s">
        <v>122</v>
      </c>
      <c r="B58" s="11" t="s">
        <v>123</v>
      </c>
      <c r="C58" s="12">
        <v>38000</v>
      </c>
      <c r="D58" s="10" t="s">
        <v>12</v>
      </c>
      <c r="E58" s="10" t="s">
        <v>13</v>
      </c>
      <c r="F58" s="10"/>
      <c r="G58" s="15">
        <f>SUMIF([1]!Table3[Kode],[1]!Table1[[#This Row],[Kode]],[1]!Table3[Qty])</f>
        <v>10</v>
      </c>
      <c r="H58" s="15">
        <f>SUMIF([1]!Table35[Kode],[1]!Table1[[#This Row],[Kode]],[1]!Table35[Qty])</f>
        <v>5</v>
      </c>
      <c r="I58" s="16">
        <f>[1]!Table1[[#This Row],[Stock Awal]]+[1]!Table1[[#This Row],[Stok Masuk]]-[1]!Table1[[#This Row],[Stok Keluar]]</f>
        <v>5</v>
      </c>
    </row>
    <row r="59" spans="1:9" ht="17">
      <c r="A59" s="10" t="s">
        <v>124</v>
      </c>
      <c r="B59" s="11" t="s">
        <v>125</v>
      </c>
      <c r="C59" s="12">
        <v>38000</v>
      </c>
      <c r="D59" s="10" t="s">
        <v>12</v>
      </c>
      <c r="E59" s="10" t="s">
        <v>13</v>
      </c>
      <c r="F59" s="10"/>
      <c r="G59" s="15">
        <f>SUMIF([1]!Table3[Kode],[1]!Table1[[#This Row],[Kode]],[1]!Table3[Qty])</f>
        <v>0</v>
      </c>
      <c r="H59" s="15">
        <f>SUMIF([1]!Table35[Kode],[1]!Table1[[#This Row],[Kode]],[1]!Table35[Qty])</f>
        <v>0</v>
      </c>
      <c r="I59" s="16">
        <f>[1]!Table1[[#This Row],[Stock Awal]]+[1]!Table1[[#This Row],[Stok Masuk]]-[1]!Table1[[#This Row],[Stok Keluar]]</f>
        <v>0</v>
      </c>
    </row>
    <row r="60" spans="1:9" ht="17">
      <c r="A60" s="10" t="s">
        <v>126</v>
      </c>
      <c r="B60" s="11" t="s">
        <v>127</v>
      </c>
      <c r="C60" s="18">
        <v>38000</v>
      </c>
      <c r="D60" s="19" t="s">
        <v>12</v>
      </c>
      <c r="E60" s="19" t="s">
        <v>13</v>
      </c>
      <c r="F60" s="10"/>
      <c r="G60" s="13">
        <f>SUMIF([1]!Table3[Kode],[1]!Table1[[#This Row],[Kode]],[1]!Table3[Qty])</f>
        <v>5</v>
      </c>
      <c r="H60" s="13">
        <f>SUMIF([1]!Table35[Kode],[1]!Table1[[#This Row],[Kode]],[1]!Table35[Qty])</f>
        <v>0</v>
      </c>
      <c r="I60" s="14">
        <f>[1]!Table1[[#This Row],[Stock Awal]]+[1]!Table1[[#This Row],[Stok Masuk]]-[1]!Table1[[#This Row],[Stok Keluar]]</f>
        <v>5</v>
      </c>
    </row>
    <row r="61" spans="1:9" ht="17">
      <c r="A61" s="10" t="s">
        <v>128</v>
      </c>
      <c r="B61" s="11" t="s">
        <v>129</v>
      </c>
      <c r="C61" s="12">
        <v>27000</v>
      </c>
      <c r="D61" s="10" t="s">
        <v>12</v>
      </c>
      <c r="E61" s="10" t="s">
        <v>13</v>
      </c>
      <c r="F61" s="10"/>
      <c r="G61" s="13">
        <f>SUMIF([1]!Table3[Kode],[1]!Table1[[#This Row],[Kode]],[1]!Table3[Qty])</f>
        <v>8</v>
      </c>
      <c r="H61" s="13">
        <f>SUMIF([1]!Table35[Kode],[1]!Table1[[#This Row],[Kode]],[1]!Table35[Qty])</f>
        <v>4</v>
      </c>
      <c r="I61" s="14">
        <f>[1]!Table1[[#This Row],[Stock Awal]]+[1]!Table1[[#This Row],[Stok Masuk]]-[1]!Table1[[#This Row],[Stok Keluar]]</f>
        <v>4</v>
      </c>
    </row>
    <row r="62" spans="1:9" ht="17">
      <c r="A62" s="10" t="s">
        <v>130</v>
      </c>
      <c r="B62" s="11" t="s">
        <v>131</v>
      </c>
      <c r="C62" s="12">
        <v>27000</v>
      </c>
      <c r="D62" s="10" t="s">
        <v>12</v>
      </c>
      <c r="E62" s="10" t="s">
        <v>13</v>
      </c>
      <c r="F62" s="10"/>
      <c r="G62" s="13">
        <f>SUMIF([1]!Table3[Kode],[1]!Table1[[#This Row],[Kode]],[1]!Table3[Qty])</f>
        <v>8</v>
      </c>
      <c r="H62" s="13">
        <f>SUMIF([1]!Table35[Kode],[1]!Table1[[#This Row],[Kode]],[1]!Table35[Qty])</f>
        <v>5</v>
      </c>
      <c r="I62" s="14">
        <f>[1]!Table1[[#This Row],[Stock Awal]]+[1]!Table1[[#This Row],[Stok Masuk]]-[1]!Table1[[#This Row],[Stok Keluar]]</f>
        <v>3</v>
      </c>
    </row>
    <row r="63" spans="1:9" ht="17">
      <c r="A63" s="10" t="s">
        <v>132</v>
      </c>
      <c r="B63" s="11" t="s">
        <v>133</v>
      </c>
      <c r="C63" s="12">
        <v>27000</v>
      </c>
      <c r="D63" s="10" t="s">
        <v>12</v>
      </c>
      <c r="E63" s="10" t="s">
        <v>13</v>
      </c>
      <c r="F63" s="10"/>
      <c r="G63" s="13">
        <f>SUMIF([1]!Table3[Kode],[1]!Table1[[#This Row],[Kode]],[1]!Table3[Qty])</f>
        <v>8</v>
      </c>
      <c r="H63" s="13">
        <f>SUMIF([1]!Table35[Kode],[1]!Table1[[#This Row],[Kode]],[1]!Table35[Qty])</f>
        <v>2</v>
      </c>
      <c r="I63" s="14">
        <f>[1]!Table1[[#This Row],[Stock Awal]]+[1]!Table1[[#This Row],[Stok Masuk]]-[1]!Table1[[#This Row],[Stok Keluar]]</f>
        <v>6</v>
      </c>
    </row>
    <row r="64" spans="1:9" ht="17">
      <c r="A64" s="10" t="s">
        <v>134</v>
      </c>
      <c r="B64" s="11" t="s">
        <v>135</v>
      </c>
      <c r="C64" s="12">
        <v>27000</v>
      </c>
      <c r="D64" s="10" t="s">
        <v>12</v>
      </c>
      <c r="E64" s="10" t="s">
        <v>13</v>
      </c>
      <c r="F64" s="10"/>
      <c r="G64" s="15">
        <f>SUMIF([1]!Table3[Kode],[1]!Table1[[#This Row],[Kode]],[1]!Table3[Qty])</f>
        <v>8</v>
      </c>
      <c r="H64" s="15">
        <f>SUMIF([1]!Table35[Kode],[1]!Table1[[#This Row],[Kode]],[1]!Table35[Qty])</f>
        <v>5</v>
      </c>
      <c r="I64" s="16">
        <f>[1]!Table1[[#This Row],[Stock Awal]]+[1]!Table1[[#This Row],[Stok Masuk]]-[1]!Table1[[#This Row],[Stok Keluar]]</f>
        <v>3</v>
      </c>
    </row>
    <row r="65" spans="1:9" ht="17">
      <c r="A65" s="10" t="s">
        <v>136</v>
      </c>
      <c r="B65" s="11" t="s">
        <v>137</v>
      </c>
      <c r="C65" s="12">
        <v>27000</v>
      </c>
      <c r="D65" s="10" t="s">
        <v>12</v>
      </c>
      <c r="E65" s="10" t="s">
        <v>13</v>
      </c>
      <c r="F65" s="10"/>
      <c r="G65" s="15">
        <f>SUMIF([1]!Table3[Kode],[1]!Table1[[#This Row],[Kode]],[1]!Table3[Qty])</f>
        <v>28</v>
      </c>
      <c r="H65" s="15">
        <f>SUMIF([1]!Table35[Kode],[1]!Table1[[#This Row],[Kode]],[1]!Table35[Qty])</f>
        <v>23</v>
      </c>
      <c r="I65" s="16">
        <f>[1]!Table1[[#This Row],[Stock Awal]]+[1]!Table1[[#This Row],[Stok Masuk]]-[1]!Table1[[#This Row],[Stok Keluar]]</f>
        <v>5</v>
      </c>
    </row>
    <row r="66" spans="1:9" ht="17">
      <c r="A66" s="10" t="s">
        <v>138</v>
      </c>
      <c r="B66" s="11" t="s">
        <v>139</v>
      </c>
      <c r="C66" s="12">
        <v>25000</v>
      </c>
      <c r="D66" s="10" t="s">
        <v>12</v>
      </c>
      <c r="E66" s="10" t="s">
        <v>140</v>
      </c>
      <c r="F66" s="10"/>
      <c r="G66" s="13">
        <f>SUMIF([1]!Table3[Kode],[1]!Table1[[#This Row],[Kode]],[1]!Table3[Qty])</f>
        <v>8</v>
      </c>
      <c r="H66" s="13">
        <f>SUMIF([1]!Table35[Kode],[1]!Table1[[#This Row],[Kode]],[1]!Table35[Qty])</f>
        <v>4</v>
      </c>
      <c r="I66" s="14">
        <f>[1]!Table1[[#This Row],[Stock Awal]]+[1]!Table1[[#This Row],[Stok Masuk]]-[1]!Table1[[#This Row],[Stok Keluar]]</f>
        <v>4</v>
      </c>
    </row>
    <row r="67" spans="1:9" ht="17">
      <c r="A67" s="10" t="s">
        <v>141</v>
      </c>
      <c r="B67" s="11" t="s">
        <v>142</v>
      </c>
      <c r="C67" s="12">
        <v>27000</v>
      </c>
      <c r="D67" s="10" t="s">
        <v>12</v>
      </c>
      <c r="E67" s="10" t="s">
        <v>13</v>
      </c>
      <c r="F67" s="10">
        <v>2</v>
      </c>
      <c r="G67" s="13">
        <f>SUMIF([1]!Table3[Kode],[1]!Table1[[#This Row],[Kode]],[1]!Table3[Qty])</f>
        <v>18</v>
      </c>
      <c r="H67" s="13">
        <f>SUMIF([1]!Table35[Kode],[1]!Table1[[#This Row],[Kode]],[1]!Table35[Qty])</f>
        <v>15</v>
      </c>
      <c r="I67" s="14">
        <f>[1]!Table1[[#This Row],[Stock Awal]]+[1]!Table1[[#This Row],[Stok Masuk]]-[1]!Table1[[#This Row],[Stok Keluar]]</f>
        <v>5</v>
      </c>
    </row>
    <row r="68" spans="1:9" ht="17">
      <c r="A68" s="10" t="s">
        <v>143</v>
      </c>
      <c r="B68" s="11" t="s">
        <v>144</v>
      </c>
      <c r="C68" s="12">
        <v>27000</v>
      </c>
      <c r="D68" s="10" t="s">
        <v>12</v>
      </c>
      <c r="E68" s="10" t="s">
        <v>13</v>
      </c>
      <c r="F68" s="10"/>
      <c r="G68" s="13">
        <f>SUMIF([1]!Table3[Kode],[1]!Table1[[#This Row],[Kode]],[1]!Table3[Qty])</f>
        <v>23</v>
      </c>
      <c r="H68" s="13">
        <f>SUMIF([1]!Table35[Kode],[1]!Table1[[#This Row],[Kode]],[1]!Table35[Qty])</f>
        <v>14</v>
      </c>
      <c r="I68" s="14">
        <f>[1]!Table1[[#This Row],[Stock Awal]]+[1]!Table1[[#This Row],[Stok Masuk]]-[1]!Table1[[#This Row],[Stok Keluar]]</f>
        <v>9</v>
      </c>
    </row>
    <row r="69" spans="1:9" ht="17">
      <c r="A69" s="10" t="s">
        <v>145</v>
      </c>
      <c r="B69" s="11" t="s">
        <v>146</v>
      </c>
      <c r="C69" s="12">
        <v>27000</v>
      </c>
      <c r="D69" s="10" t="s">
        <v>12</v>
      </c>
      <c r="E69" s="10" t="s">
        <v>13</v>
      </c>
      <c r="F69" s="10"/>
      <c r="G69" s="13">
        <f>SUMIF([1]!Table3[Kode],[1]!Table1[[#This Row],[Kode]],[1]!Table3[Qty])</f>
        <v>8</v>
      </c>
      <c r="H69" s="13">
        <f>SUMIF([1]!Table35[Kode],[1]!Table1[[#This Row],[Kode]],[1]!Table35[Qty])</f>
        <v>2</v>
      </c>
      <c r="I69" s="14">
        <f>[1]!Table1[[#This Row],[Stock Awal]]+[1]!Table1[[#This Row],[Stok Masuk]]-[1]!Table1[[#This Row],[Stok Keluar]]</f>
        <v>6</v>
      </c>
    </row>
    <row r="70" spans="1:9" ht="17">
      <c r="A70" s="10" t="s">
        <v>147</v>
      </c>
      <c r="B70" s="11" t="s">
        <v>148</v>
      </c>
      <c r="C70" s="12">
        <v>27000</v>
      </c>
      <c r="D70" s="10" t="s">
        <v>12</v>
      </c>
      <c r="E70" s="10" t="s">
        <v>13</v>
      </c>
      <c r="F70" s="10"/>
      <c r="G70" s="13">
        <f>SUMIF([1]!Table3[Kode],[1]!Table1[[#This Row],[Kode]],[1]!Table3[Qty])</f>
        <v>8</v>
      </c>
      <c r="H70" s="13">
        <f>SUMIF([1]!Table35[Kode],[1]!Table1[[#This Row],[Kode]],[1]!Table35[Qty])</f>
        <v>3</v>
      </c>
      <c r="I70" s="14">
        <f>[1]!Table1[[#This Row],[Stock Awal]]+[1]!Table1[[#This Row],[Stok Masuk]]-[1]!Table1[[#This Row],[Stok Keluar]]</f>
        <v>5</v>
      </c>
    </row>
    <row r="71" spans="1:9" ht="17">
      <c r="A71" s="10" t="s">
        <v>149</v>
      </c>
      <c r="B71" s="11" t="s">
        <v>150</v>
      </c>
      <c r="C71" s="12">
        <v>27000</v>
      </c>
      <c r="D71" s="10" t="s">
        <v>12</v>
      </c>
      <c r="E71" s="10" t="s">
        <v>13</v>
      </c>
      <c r="F71" s="10"/>
      <c r="G71" s="13">
        <f>SUMIF([1]!Table3[Kode],[1]!Table1[[#This Row],[Kode]],[1]!Table3[Qty])</f>
        <v>13</v>
      </c>
      <c r="H71" s="13">
        <f>SUMIF([1]!Table35[Kode],[1]!Table1[[#This Row],[Kode]],[1]!Table35[Qty])</f>
        <v>7</v>
      </c>
      <c r="I71" s="14">
        <f>[1]!Table1[[#This Row],[Stock Awal]]+[1]!Table1[[#This Row],[Stok Masuk]]-[1]!Table1[[#This Row],[Stok Keluar]]</f>
        <v>6</v>
      </c>
    </row>
    <row r="72" spans="1:9" ht="17">
      <c r="A72" s="10" t="s">
        <v>151</v>
      </c>
      <c r="B72" s="11" t="s">
        <v>152</v>
      </c>
      <c r="C72" s="12">
        <v>27000</v>
      </c>
      <c r="D72" s="10" t="s">
        <v>12</v>
      </c>
      <c r="E72" s="10" t="s">
        <v>13</v>
      </c>
      <c r="F72" s="10"/>
      <c r="G72" s="13">
        <f>SUMIF([1]!Table3[Kode],[1]!Table1[[#This Row],[Kode]],[1]!Table3[Qty])</f>
        <v>18</v>
      </c>
      <c r="H72" s="13">
        <f>SUMIF([1]!Table35[Kode],[1]!Table1[[#This Row],[Kode]],[1]!Table35[Qty])</f>
        <v>13</v>
      </c>
      <c r="I72" s="14">
        <f>[1]!Table1[[#This Row],[Stock Awal]]+[1]!Table1[[#This Row],[Stok Masuk]]-[1]!Table1[[#This Row],[Stok Keluar]]</f>
        <v>5</v>
      </c>
    </row>
    <row r="73" spans="1:9" ht="17">
      <c r="A73" s="10" t="s">
        <v>153</v>
      </c>
      <c r="B73" s="11" t="s">
        <v>154</v>
      </c>
      <c r="C73" s="12">
        <v>27000</v>
      </c>
      <c r="D73" s="10" t="s">
        <v>12</v>
      </c>
      <c r="E73" s="10" t="s">
        <v>13</v>
      </c>
      <c r="F73" s="10"/>
      <c r="G73" s="13">
        <f>SUMIF([1]!Table3[Kode],[1]!Table1[[#This Row],[Kode]],[1]!Table3[Qty])</f>
        <v>28</v>
      </c>
      <c r="H73" s="13">
        <f>SUMIF([1]!Table35[Kode],[1]!Table1[[#This Row],[Kode]],[1]!Table35[Qty])</f>
        <v>21</v>
      </c>
      <c r="I73" s="14">
        <f>[1]!Table1[[#This Row],[Stock Awal]]+[1]!Table1[[#This Row],[Stok Masuk]]-[1]!Table1[[#This Row],[Stok Keluar]]</f>
        <v>7</v>
      </c>
    </row>
    <row r="74" spans="1:9" ht="17">
      <c r="A74" s="10" t="s">
        <v>155</v>
      </c>
      <c r="B74" s="11" t="s">
        <v>156</v>
      </c>
      <c r="C74" s="12">
        <v>27000</v>
      </c>
      <c r="D74" s="10" t="s">
        <v>12</v>
      </c>
      <c r="E74" s="10" t="s">
        <v>13</v>
      </c>
      <c r="F74" s="10"/>
      <c r="G74" s="13">
        <f>SUMIF([1]!Table3[Kode],[1]!Table1[[#This Row],[Kode]],[1]!Table3[Qty])</f>
        <v>13</v>
      </c>
      <c r="H74" s="13">
        <f>SUMIF([1]!Table35[Kode],[1]!Table1[[#This Row],[Kode]],[1]!Table35[Qty])</f>
        <v>4</v>
      </c>
      <c r="I74" s="14">
        <f>[1]!Table1[[#This Row],[Stock Awal]]+[1]!Table1[[#This Row],[Stok Masuk]]-[1]!Table1[[#This Row],[Stok Keluar]]</f>
        <v>9</v>
      </c>
    </row>
    <row r="75" spans="1:9" ht="17">
      <c r="A75" s="10" t="s">
        <v>157</v>
      </c>
      <c r="B75" s="11" t="s">
        <v>158</v>
      </c>
      <c r="C75" s="12">
        <v>27000</v>
      </c>
      <c r="D75" s="10" t="s">
        <v>12</v>
      </c>
      <c r="E75" s="10" t="s">
        <v>13</v>
      </c>
      <c r="F75" s="10"/>
      <c r="G75" s="13">
        <f>SUMIF([1]!Table3[Kode],[1]!Table1[[#This Row],[Kode]],[1]!Table3[Qty])</f>
        <v>10</v>
      </c>
      <c r="H75" s="13">
        <f>SUMIF([1]!Table35[Kode],[1]!Table1[[#This Row],[Kode]],[1]!Table35[Qty])</f>
        <v>5</v>
      </c>
      <c r="I75" s="14">
        <f>[1]!Table1[[#This Row],[Stock Awal]]+[1]!Table1[[#This Row],[Stok Masuk]]-[1]!Table1[[#This Row],[Stok Keluar]]</f>
        <v>5</v>
      </c>
    </row>
    <row r="76" spans="1:9" ht="17">
      <c r="A76" s="10" t="s">
        <v>159</v>
      </c>
      <c r="B76" s="11" t="s">
        <v>160</v>
      </c>
      <c r="C76" s="12">
        <v>27000</v>
      </c>
      <c r="D76" s="10" t="s">
        <v>12</v>
      </c>
      <c r="E76" s="10" t="s">
        <v>13</v>
      </c>
      <c r="F76" s="10"/>
      <c r="G76" s="13">
        <f>SUMIF([1]!Table3[Kode],[1]!Table1[[#This Row],[Kode]],[1]!Table3[Qty])</f>
        <v>10</v>
      </c>
      <c r="H76" s="13">
        <f>SUMIF([1]!Table35[Kode],[1]!Table1[[#This Row],[Kode]],[1]!Table35[Qty])</f>
        <v>6</v>
      </c>
      <c r="I76" s="14">
        <f>[1]!Table1[[#This Row],[Stock Awal]]+[1]!Table1[[#This Row],[Stok Masuk]]-[1]!Table1[[#This Row],[Stok Keluar]]</f>
        <v>4</v>
      </c>
    </row>
    <row r="77" spans="1:9" ht="17">
      <c r="A77" s="10" t="s">
        <v>161</v>
      </c>
      <c r="B77" s="11" t="s">
        <v>162</v>
      </c>
      <c r="C77" s="12">
        <v>27000</v>
      </c>
      <c r="D77" s="10" t="s">
        <v>12</v>
      </c>
      <c r="E77" s="10" t="s">
        <v>13</v>
      </c>
      <c r="F77" s="10"/>
      <c r="G77" s="13">
        <f>SUMIF([1]!Table3[Kode],[1]!Table1[[#This Row],[Kode]],[1]!Table3[Qty])</f>
        <v>5</v>
      </c>
      <c r="H77" s="13">
        <f>SUMIF([1]!Table35[Kode],[1]!Table1[[#This Row],[Kode]],[1]!Table35[Qty])</f>
        <v>1</v>
      </c>
      <c r="I77" s="14">
        <f>[1]!Table1[[#This Row],[Stock Awal]]+[1]!Table1[[#This Row],[Stok Masuk]]-[1]!Table1[[#This Row],[Stok Keluar]]</f>
        <v>4</v>
      </c>
    </row>
    <row r="78" spans="1:9" ht="17">
      <c r="A78" s="10" t="s">
        <v>163</v>
      </c>
      <c r="B78" s="11" t="s">
        <v>164</v>
      </c>
      <c r="C78" s="12">
        <v>27000</v>
      </c>
      <c r="D78" s="10" t="s">
        <v>12</v>
      </c>
      <c r="E78" s="10" t="s">
        <v>13</v>
      </c>
      <c r="F78" s="10"/>
      <c r="G78" s="13">
        <f>SUMIF([1]!Table3[Kode],[1]!Table1[[#This Row],[Kode]],[1]!Table3[Qty])</f>
        <v>8</v>
      </c>
      <c r="H78" s="13">
        <f>SUMIF([1]!Table35[Kode],[1]!Table1[[#This Row],[Kode]],[1]!Table35[Qty])</f>
        <v>5</v>
      </c>
      <c r="I78" s="14">
        <f>[1]!Table1[[#This Row],[Stock Awal]]+[1]!Table1[[#This Row],[Stok Masuk]]-[1]!Table1[[#This Row],[Stok Keluar]]</f>
        <v>3</v>
      </c>
    </row>
    <row r="79" spans="1:9" ht="17">
      <c r="A79" s="10" t="s">
        <v>165</v>
      </c>
      <c r="B79" s="11" t="s">
        <v>166</v>
      </c>
      <c r="C79" s="12">
        <v>27000</v>
      </c>
      <c r="D79" s="10" t="s">
        <v>12</v>
      </c>
      <c r="E79" s="10" t="s">
        <v>13</v>
      </c>
      <c r="F79" s="10"/>
      <c r="G79" s="13">
        <f>SUMIF([1]!Table3[Kode],[1]!Table1[[#This Row],[Kode]],[1]!Table3[Qty])</f>
        <v>6</v>
      </c>
      <c r="H79" s="13">
        <f>SUMIF([1]!Table35[Kode],[1]!Table1[[#This Row],[Kode]],[1]!Table35[Qty])</f>
        <v>5</v>
      </c>
      <c r="I79" s="14">
        <f>[1]!Table1[[#This Row],[Stock Awal]]+[1]!Table1[[#This Row],[Stok Masuk]]-[1]!Table1[[#This Row],[Stok Keluar]]</f>
        <v>1</v>
      </c>
    </row>
    <row r="80" spans="1:9" ht="17">
      <c r="A80" s="10" t="s">
        <v>167</v>
      </c>
      <c r="B80" s="11" t="s">
        <v>168</v>
      </c>
      <c r="C80" s="12">
        <v>27000</v>
      </c>
      <c r="D80" s="10" t="s">
        <v>12</v>
      </c>
      <c r="E80" s="10" t="s">
        <v>13</v>
      </c>
      <c r="F80" s="10"/>
      <c r="G80" s="13">
        <f>SUMIF([1]!Table3[Kode],[1]!Table1[[#This Row],[Kode]],[1]!Table3[Qty])</f>
        <v>8</v>
      </c>
      <c r="H80" s="13">
        <f>SUMIF([1]!Table35[Kode],[1]!Table1[[#This Row],[Kode]],[1]!Table35[Qty])</f>
        <v>3</v>
      </c>
      <c r="I80" s="14">
        <f>[1]!Table1[[#This Row],[Stock Awal]]+[1]!Table1[[#This Row],[Stok Masuk]]-[1]!Table1[[#This Row],[Stok Keluar]]</f>
        <v>5</v>
      </c>
    </row>
    <row r="81" spans="1:9" ht="34">
      <c r="A81" s="10" t="s">
        <v>169</v>
      </c>
      <c r="B81" s="11" t="s">
        <v>170</v>
      </c>
      <c r="C81" s="12">
        <v>24000</v>
      </c>
      <c r="D81" s="10" t="s">
        <v>171</v>
      </c>
      <c r="E81" s="10" t="s">
        <v>172</v>
      </c>
      <c r="F81" s="10"/>
      <c r="G81" s="13">
        <f>SUMIF([1]!Table3[Kode],[1]!Table1[[#This Row],[Kode]],[1]!Table3[Qty])</f>
        <v>5</v>
      </c>
      <c r="H81" s="13">
        <f>SUMIF([1]!Table35[Kode],[1]!Table1[[#This Row],[Kode]],[1]!Table35[Qty])</f>
        <v>2</v>
      </c>
      <c r="I81" s="14">
        <f>[1]!Table1[[#This Row],[Stock Awal]]+[1]!Table1[[#This Row],[Stok Masuk]]-[1]!Table1[[#This Row],[Stok Keluar]]</f>
        <v>3</v>
      </c>
    </row>
    <row r="82" spans="1:9" ht="17">
      <c r="A82" s="10" t="s">
        <v>173</v>
      </c>
      <c r="B82" s="11" t="s">
        <v>174</v>
      </c>
      <c r="C82" s="12">
        <v>24000</v>
      </c>
      <c r="D82" s="10" t="s">
        <v>171</v>
      </c>
      <c r="E82" s="10" t="s">
        <v>172</v>
      </c>
      <c r="F82" s="10"/>
      <c r="G82" s="13">
        <f>SUMIF([1]!Table3[Kode],[1]!Table1[[#This Row],[Kode]],[1]!Table3[Qty])</f>
        <v>2</v>
      </c>
      <c r="H82" s="13">
        <f>SUMIF([1]!Table35[Kode],[1]!Table1[[#This Row],[Kode]],[1]!Table35[Qty])</f>
        <v>2</v>
      </c>
      <c r="I82" s="14">
        <f>[1]!Table1[[#This Row],[Stock Awal]]+[1]!Table1[[#This Row],[Stok Masuk]]-[1]!Table1[[#This Row],[Stok Keluar]]</f>
        <v>0</v>
      </c>
    </row>
    <row r="83" spans="1:9" ht="17">
      <c r="A83" s="10" t="s">
        <v>175</v>
      </c>
      <c r="B83" s="11" t="s">
        <v>176</v>
      </c>
      <c r="C83" s="12">
        <v>27000</v>
      </c>
      <c r="D83" s="10" t="s">
        <v>12</v>
      </c>
      <c r="E83" s="10" t="s">
        <v>13</v>
      </c>
      <c r="F83" s="10"/>
      <c r="G83" s="13">
        <f>SUMIF([1]!Table3[Kode],[1]!Table1[[#This Row],[Kode]],[1]!Table3[Qty])</f>
        <v>15</v>
      </c>
      <c r="H83" s="13">
        <f>SUMIF([1]!Table35[Kode],[1]!Table1[[#This Row],[Kode]],[1]!Table35[Qty])</f>
        <v>5</v>
      </c>
      <c r="I83" s="14">
        <f>[1]!Table1[[#This Row],[Stock Awal]]+[1]!Table1[[#This Row],[Stok Masuk]]-[1]!Table1[[#This Row],[Stok Keluar]]</f>
        <v>10</v>
      </c>
    </row>
    <row r="84" spans="1:9" ht="17">
      <c r="A84" s="10" t="s">
        <v>177</v>
      </c>
      <c r="B84" s="11" t="s">
        <v>178</v>
      </c>
      <c r="C84" s="17">
        <v>26000</v>
      </c>
      <c r="D84" s="10" t="s">
        <v>12</v>
      </c>
      <c r="E84" s="10" t="s">
        <v>13</v>
      </c>
      <c r="F84" s="10">
        <v>1</v>
      </c>
      <c r="G84" s="13">
        <f>SUMIF([1]!Table3[Kode],[1]!Table1[[#This Row],[Kode]],[1]!Table3[Qty])</f>
        <v>26</v>
      </c>
      <c r="H84" s="13">
        <f>SUMIF([1]!Table35[Kode],[1]!Table1[[#This Row],[Kode]],[1]!Table35[Qty])</f>
        <v>25</v>
      </c>
      <c r="I84" s="14">
        <f>[1]!Table1[[#This Row],[Stock Awal]]+[1]!Table1[[#This Row],[Stok Masuk]]-[1]!Table1[[#This Row],[Stok Keluar]]</f>
        <v>2</v>
      </c>
    </row>
    <row r="85" spans="1:9" ht="17">
      <c r="A85" s="10" t="s">
        <v>179</v>
      </c>
      <c r="B85" s="11" t="s">
        <v>180</v>
      </c>
      <c r="C85" s="17">
        <v>26000</v>
      </c>
      <c r="D85" s="10" t="s">
        <v>12</v>
      </c>
      <c r="E85" s="10" t="s">
        <v>13</v>
      </c>
      <c r="F85" s="10"/>
      <c r="G85" s="13">
        <f>SUMIF([1]!Table3[Kode],[1]!Table1[[#This Row],[Kode]],[1]!Table3[Qty])</f>
        <v>30</v>
      </c>
      <c r="H85" s="13">
        <f>SUMIF([1]!Table35[Kode],[1]!Table1[[#This Row],[Kode]],[1]!Table35[Qty])</f>
        <v>28</v>
      </c>
      <c r="I85" s="14">
        <f>[1]!Table1[[#This Row],[Stock Awal]]+[1]!Table1[[#This Row],[Stok Masuk]]-[1]!Table1[[#This Row],[Stok Keluar]]</f>
        <v>2</v>
      </c>
    </row>
    <row r="86" spans="1:9" ht="17">
      <c r="A86" s="10" t="s">
        <v>181</v>
      </c>
      <c r="B86" s="11" t="s">
        <v>182</v>
      </c>
      <c r="C86" s="17">
        <v>26000</v>
      </c>
      <c r="D86" s="10" t="s">
        <v>12</v>
      </c>
      <c r="E86" s="10" t="s">
        <v>13</v>
      </c>
      <c r="F86" s="10"/>
      <c r="G86" s="13">
        <f>SUMIF([1]!Table3[Kode],[1]!Table1[[#This Row],[Kode]],[1]!Table3[Qty])</f>
        <v>10</v>
      </c>
      <c r="H86" s="13">
        <f>SUMIF([1]!Table35[Kode],[1]!Table1[[#This Row],[Kode]],[1]!Table35[Qty])</f>
        <v>3</v>
      </c>
      <c r="I86" s="14">
        <f>[1]!Table1[[#This Row],[Stock Awal]]+[1]!Table1[[#This Row],[Stok Masuk]]-[1]!Table1[[#This Row],[Stok Keluar]]</f>
        <v>7</v>
      </c>
    </row>
    <row r="87" spans="1:9" ht="17">
      <c r="A87" s="10" t="s">
        <v>183</v>
      </c>
      <c r="B87" s="11" t="s">
        <v>184</v>
      </c>
      <c r="C87" s="17">
        <v>26000</v>
      </c>
      <c r="D87" s="10" t="s">
        <v>12</v>
      </c>
      <c r="E87" s="10" t="s">
        <v>13</v>
      </c>
      <c r="F87" s="10">
        <v>2</v>
      </c>
      <c r="G87" s="13">
        <f>SUMIF([1]!Table3[Kode],[1]!Table1[[#This Row],[Kode]],[1]!Table3[Qty])</f>
        <v>20</v>
      </c>
      <c r="H87" s="13">
        <f>SUMIF([1]!Table35[Kode],[1]!Table1[[#This Row],[Kode]],[1]!Table35[Qty])</f>
        <v>13</v>
      </c>
      <c r="I87" s="14">
        <f>[1]!Table1[[#This Row],[Stock Awal]]+[1]!Table1[[#This Row],[Stok Masuk]]-[1]!Table1[[#This Row],[Stok Keluar]]</f>
        <v>9</v>
      </c>
    </row>
    <row r="88" spans="1:9" ht="17">
      <c r="A88" s="10" t="s">
        <v>185</v>
      </c>
      <c r="B88" s="11" t="s">
        <v>186</v>
      </c>
      <c r="C88" s="17">
        <v>26000</v>
      </c>
      <c r="D88" s="10" t="s">
        <v>12</v>
      </c>
      <c r="E88" s="10" t="s">
        <v>13</v>
      </c>
      <c r="F88" s="10">
        <v>6</v>
      </c>
      <c r="G88" s="13">
        <f>SUMIF([1]!Table3[Kode],[1]!Table1[[#This Row],[Kode]],[1]!Table3[Qty])</f>
        <v>51</v>
      </c>
      <c r="H88" s="13">
        <f>SUMIF([1]!Table35[Kode],[1]!Table1[[#This Row],[Kode]],[1]!Table35[Qty])</f>
        <v>34</v>
      </c>
      <c r="I88" s="14">
        <f>[1]!Table1[[#This Row],[Stock Awal]]+[1]!Table1[[#This Row],[Stok Masuk]]-[1]!Table1[[#This Row],[Stok Keluar]]</f>
        <v>23</v>
      </c>
    </row>
    <row r="89" spans="1:9" ht="17">
      <c r="A89" s="10" t="s">
        <v>187</v>
      </c>
      <c r="B89" s="11" t="s">
        <v>188</v>
      </c>
      <c r="C89" s="17">
        <v>28000</v>
      </c>
      <c r="D89" s="10" t="s">
        <v>12</v>
      </c>
      <c r="E89" s="10" t="s">
        <v>13</v>
      </c>
      <c r="F89" s="10">
        <v>1</v>
      </c>
      <c r="G89" s="13">
        <f>SUMIF([1]!Table3[Kode],[1]!Table1[[#This Row],[Kode]],[1]!Table3[Qty])</f>
        <v>25</v>
      </c>
      <c r="H89" s="13">
        <f>SUMIF([1]!Table35[Kode],[1]!Table1[[#This Row],[Kode]],[1]!Table35[Qty])</f>
        <v>18</v>
      </c>
      <c r="I89" s="14">
        <f>[1]!Table1[[#This Row],[Stock Awal]]+[1]!Table1[[#This Row],[Stok Masuk]]-[1]!Table1[[#This Row],[Stok Keluar]]</f>
        <v>8</v>
      </c>
    </row>
    <row r="90" spans="1:9" ht="17">
      <c r="A90" s="10" t="s">
        <v>189</v>
      </c>
      <c r="B90" s="11" t="s">
        <v>190</v>
      </c>
      <c r="C90" s="17">
        <v>28000</v>
      </c>
      <c r="D90" s="10" t="s">
        <v>12</v>
      </c>
      <c r="E90" s="10" t="s">
        <v>13</v>
      </c>
      <c r="F90" s="10">
        <v>1</v>
      </c>
      <c r="G90" s="13">
        <f>SUMIF([1]!Table3[Kode],[1]!Table1[[#This Row],[Kode]],[1]!Table3[Qty])</f>
        <v>25</v>
      </c>
      <c r="H90" s="13">
        <f>SUMIF([1]!Table35[Kode],[1]!Table1[[#This Row],[Kode]],[1]!Table35[Qty])</f>
        <v>21</v>
      </c>
      <c r="I90" s="14">
        <f>[1]!Table1[[#This Row],[Stock Awal]]+[1]!Table1[[#This Row],[Stok Masuk]]-[1]!Table1[[#This Row],[Stok Keluar]]</f>
        <v>5</v>
      </c>
    </row>
    <row r="91" spans="1:9" ht="17">
      <c r="A91" s="10" t="s">
        <v>191</v>
      </c>
      <c r="B91" s="11" t="s">
        <v>192</v>
      </c>
      <c r="C91" s="17">
        <v>28000</v>
      </c>
      <c r="D91" s="10" t="s">
        <v>12</v>
      </c>
      <c r="E91" s="10" t="s">
        <v>13</v>
      </c>
      <c r="F91" s="10"/>
      <c r="G91" s="13">
        <f>SUMIF([1]!Table3[Kode],[1]!Table1[[#This Row],[Kode]],[1]!Table3[Qty])</f>
        <v>15</v>
      </c>
      <c r="H91" s="13">
        <f>SUMIF([1]!Table35[Kode],[1]!Table1[[#This Row],[Kode]],[1]!Table35[Qty])</f>
        <v>11</v>
      </c>
      <c r="I91" s="14">
        <f>[1]!Table1[[#This Row],[Stock Awal]]+[1]!Table1[[#This Row],[Stok Masuk]]-[1]!Table1[[#This Row],[Stok Keluar]]</f>
        <v>4</v>
      </c>
    </row>
    <row r="92" spans="1:9" ht="17">
      <c r="A92" s="10" t="s">
        <v>193</v>
      </c>
      <c r="B92" s="11" t="s">
        <v>194</v>
      </c>
      <c r="C92" s="17">
        <v>28000</v>
      </c>
      <c r="D92" s="10" t="s">
        <v>12</v>
      </c>
      <c r="E92" s="10" t="s">
        <v>13</v>
      </c>
      <c r="F92" s="10"/>
      <c r="G92" s="13">
        <f>SUMIF([1]!Table3[Kode],[1]!Table1[[#This Row],[Kode]],[1]!Table3[Qty])</f>
        <v>15</v>
      </c>
      <c r="H92" s="13">
        <f>SUMIF([1]!Table35[Kode],[1]!Table1[[#This Row],[Kode]],[1]!Table35[Qty])</f>
        <v>11</v>
      </c>
      <c r="I92" s="14">
        <f>[1]!Table1[[#This Row],[Stock Awal]]+[1]!Table1[[#This Row],[Stok Masuk]]-[1]!Table1[[#This Row],[Stok Keluar]]</f>
        <v>4</v>
      </c>
    </row>
    <row r="93" spans="1:9" ht="17">
      <c r="A93" s="10" t="s">
        <v>195</v>
      </c>
      <c r="B93" s="11" t="s">
        <v>196</v>
      </c>
      <c r="C93" s="17">
        <v>28000</v>
      </c>
      <c r="D93" s="10" t="s">
        <v>12</v>
      </c>
      <c r="E93" s="10" t="s">
        <v>13</v>
      </c>
      <c r="F93" s="10"/>
      <c r="G93" s="13">
        <f>SUMIF([1]!Table3[Kode],[1]!Table1[[#This Row],[Kode]],[1]!Table3[Qty])</f>
        <v>5</v>
      </c>
      <c r="H93" s="13">
        <f>SUMIF([1]!Table35[Kode],[1]!Table1[[#This Row],[Kode]],[1]!Table35[Qty])</f>
        <v>2</v>
      </c>
      <c r="I93" s="14">
        <f>[1]!Table1[[#This Row],[Stock Awal]]+[1]!Table1[[#This Row],[Stok Masuk]]-[1]!Table1[[#This Row],[Stok Keluar]]</f>
        <v>3</v>
      </c>
    </row>
    <row r="94" spans="1:9" ht="34">
      <c r="A94" s="10" t="s">
        <v>197</v>
      </c>
      <c r="B94" s="11" t="s">
        <v>198</v>
      </c>
      <c r="C94" s="17">
        <v>28000</v>
      </c>
      <c r="D94" s="10" t="s">
        <v>12</v>
      </c>
      <c r="E94" s="10" t="s">
        <v>13</v>
      </c>
      <c r="F94" s="10"/>
      <c r="G94" s="13">
        <f>SUMIF([1]!Table3[Kode],[1]!Table1[[#This Row],[Kode]],[1]!Table3[Qty])</f>
        <v>5</v>
      </c>
      <c r="H94" s="13">
        <f>SUMIF([1]!Table35[Kode],[1]!Table1[[#This Row],[Kode]],[1]!Table35[Qty])</f>
        <v>1</v>
      </c>
      <c r="I94" s="14">
        <f>[1]!Table1[[#This Row],[Stock Awal]]+[1]!Table1[[#This Row],[Stok Masuk]]-[1]!Table1[[#This Row],[Stok Keluar]]</f>
        <v>4</v>
      </c>
    </row>
    <row r="95" spans="1:9" ht="17">
      <c r="A95" s="10" t="s">
        <v>199</v>
      </c>
      <c r="B95" s="11" t="s">
        <v>200</v>
      </c>
      <c r="C95" s="17">
        <v>28000</v>
      </c>
      <c r="D95" s="10" t="s">
        <v>12</v>
      </c>
      <c r="E95" s="10" t="s">
        <v>13</v>
      </c>
      <c r="F95" s="10"/>
      <c r="G95" s="13">
        <f>SUMIF([1]!Table3[Kode],[1]!Table1[[#This Row],[Kode]],[1]!Table3[Qty])</f>
        <v>5</v>
      </c>
      <c r="H95" s="13">
        <f>SUMIF([1]!Table35[Kode],[1]!Table1[[#This Row],[Kode]],[1]!Table35[Qty])</f>
        <v>2</v>
      </c>
      <c r="I95" s="14">
        <f>[1]!Table1[[#This Row],[Stock Awal]]+[1]!Table1[[#This Row],[Stok Masuk]]-[1]!Table1[[#This Row],[Stok Keluar]]</f>
        <v>3</v>
      </c>
    </row>
    <row r="96" spans="1:9" ht="17">
      <c r="A96" s="10" t="s">
        <v>201</v>
      </c>
      <c r="B96" s="11" t="s">
        <v>202</v>
      </c>
      <c r="C96" s="12">
        <v>32000</v>
      </c>
      <c r="D96" s="10" t="s">
        <v>12</v>
      </c>
      <c r="E96" s="10" t="s">
        <v>13</v>
      </c>
      <c r="F96" s="10"/>
      <c r="G96" s="13">
        <f>SUMIF([1]!Table3[Kode],[1]!Table1[[#This Row],[Kode]],[1]!Table3[Qty])</f>
        <v>3</v>
      </c>
      <c r="H96" s="13">
        <f>SUMIF([1]!Table35[Kode],[1]!Table1[[#This Row],[Kode]],[1]!Table35[Qty])</f>
        <v>0</v>
      </c>
      <c r="I96" s="14">
        <f>[1]!Table1[[#This Row],[Stock Awal]]+[1]!Table1[[#This Row],[Stok Masuk]]-[1]!Table1[[#This Row],[Stok Keluar]]</f>
        <v>3</v>
      </c>
    </row>
    <row r="97" spans="1:9" ht="17">
      <c r="A97" s="10" t="s">
        <v>203</v>
      </c>
      <c r="B97" s="11" t="s">
        <v>204</v>
      </c>
      <c r="C97" s="12">
        <v>32000</v>
      </c>
      <c r="D97" s="10" t="s">
        <v>12</v>
      </c>
      <c r="E97" s="10" t="s">
        <v>13</v>
      </c>
      <c r="F97" s="10"/>
      <c r="G97" s="13">
        <f>SUMIF([1]!Table3[Kode],[1]!Table1[[#This Row],[Kode]],[1]!Table3[Qty])</f>
        <v>3</v>
      </c>
      <c r="H97" s="13">
        <f>SUMIF([1]!Table35[Kode],[1]!Table1[[#This Row],[Kode]],[1]!Table35[Qty])</f>
        <v>3</v>
      </c>
      <c r="I97" s="14">
        <f>[1]!Table1[[#This Row],[Stock Awal]]+[1]!Table1[[#This Row],[Stok Masuk]]-[1]!Table1[[#This Row],[Stok Keluar]]</f>
        <v>0</v>
      </c>
    </row>
    <row r="98" spans="1:9" ht="17">
      <c r="A98" s="10" t="s">
        <v>205</v>
      </c>
      <c r="B98" s="11" t="s">
        <v>206</v>
      </c>
      <c r="C98" s="12">
        <v>32000</v>
      </c>
      <c r="D98" s="10" t="s">
        <v>12</v>
      </c>
      <c r="E98" s="10" t="s">
        <v>13</v>
      </c>
      <c r="F98" s="10"/>
      <c r="G98" s="13">
        <f>SUMIF([1]!Table3[Kode],[1]!Table1[[#This Row],[Kode]],[1]!Table3[Qty])</f>
        <v>3</v>
      </c>
      <c r="H98" s="13">
        <f>SUMIF([1]!Table35[Kode],[1]!Table1[[#This Row],[Kode]],[1]!Table35[Qty])</f>
        <v>1</v>
      </c>
      <c r="I98" s="14">
        <f>[1]!Table1[[#This Row],[Stock Awal]]+[1]!Table1[[#This Row],[Stok Masuk]]-[1]!Table1[[#This Row],[Stok Keluar]]</f>
        <v>2</v>
      </c>
    </row>
    <row r="99" spans="1:9" ht="17">
      <c r="A99" s="10" t="s">
        <v>207</v>
      </c>
      <c r="B99" s="11" t="s">
        <v>208</v>
      </c>
      <c r="C99" s="12">
        <v>32000</v>
      </c>
      <c r="D99" s="10" t="s">
        <v>12</v>
      </c>
      <c r="E99" s="10" t="s">
        <v>13</v>
      </c>
      <c r="F99" s="10"/>
      <c r="G99" s="13">
        <f>SUMIF([1]!Table3[Kode],[1]!Table1[[#This Row],[Kode]],[1]!Table3[Qty])</f>
        <v>3</v>
      </c>
      <c r="H99" s="13">
        <f>SUMIF([1]!Table35[Kode],[1]!Table1[[#This Row],[Kode]],[1]!Table35[Qty])</f>
        <v>2</v>
      </c>
      <c r="I99" s="14">
        <f>[1]!Table1[[#This Row],[Stock Awal]]+[1]!Table1[[#This Row],[Stok Masuk]]-[1]!Table1[[#This Row],[Stok Keluar]]</f>
        <v>1</v>
      </c>
    </row>
    <row r="100" spans="1:9" ht="17">
      <c r="A100" s="10" t="s">
        <v>209</v>
      </c>
      <c r="B100" s="11" t="s">
        <v>210</v>
      </c>
      <c r="C100" s="12">
        <v>32000</v>
      </c>
      <c r="D100" s="10" t="s">
        <v>12</v>
      </c>
      <c r="E100" s="10" t="s">
        <v>13</v>
      </c>
      <c r="F100" s="10"/>
      <c r="G100" s="13">
        <f>SUMIF([1]!Table3[Kode],[1]!Table1[[#This Row],[Kode]],[1]!Table3[Qty])</f>
        <v>3</v>
      </c>
      <c r="H100" s="13">
        <f>SUMIF([1]!Table35[Kode],[1]!Table1[[#This Row],[Kode]],[1]!Table35[Qty])</f>
        <v>1</v>
      </c>
      <c r="I100" s="14">
        <f>[1]!Table1[[#This Row],[Stock Awal]]+[1]!Table1[[#This Row],[Stok Masuk]]-[1]!Table1[[#This Row],[Stok Keluar]]</f>
        <v>2</v>
      </c>
    </row>
    <row r="101" spans="1:9" ht="17">
      <c r="A101" s="10" t="s">
        <v>211</v>
      </c>
      <c r="B101" s="11" t="s">
        <v>212</v>
      </c>
      <c r="C101" s="12">
        <v>32000</v>
      </c>
      <c r="D101" s="10" t="s">
        <v>12</v>
      </c>
      <c r="E101" s="10" t="s">
        <v>13</v>
      </c>
      <c r="F101" s="10"/>
      <c r="G101" s="13">
        <f>SUMIF([1]!Table3[Kode],[1]!Table1[[#This Row],[Kode]],[1]!Table3[Qty])</f>
        <v>30</v>
      </c>
      <c r="H101" s="13">
        <f>SUMIF([1]!Table35[Kode],[1]!Table1[[#This Row],[Kode]],[1]!Table35[Qty])</f>
        <v>23</v>
      </c>
      <c r="I101" s="14">
        <f>[1]!Table1[[#This Row],[Stock Awal]]+[1]!Table1[[#This Row],[Stok Masuk]]-[1]!Table1[[#This Row],[Stok Keluar]]</f>
        <v>7</v>
      </c>
    </row>
    <row r="102" spans="1:9" ht="17">
      <c r="A102" s="10" t="s">
        <v>213</v>
      </c>
      <c r="B102" s="11" t="s">
        <v>214</v>
      </c>
      <c r="C102" s="12">
        <v>32000</v>
      </c>
      <c r="D102" s="10" t="s">
        <v>12</v>
      </c>
      <c r="E102" s="10" t="s">
        <v>13</v>
      </c>
      <c r="F102" s="10"/>
      <c r="G102" s="13">
        <f>SUMIF([1]!Table3[Kode],[1]!Table1[[#This Row],[Kode]],[1]!Table3[Qty])</f>
        <v>5</v>
      </c>
      <c r="H102" s="13">
        <f>SUMIF([1]!Table35[Kode],[1]!Table1[[#This Row],[Kode]],[1]!Table35[Qty])</f>
        <v>1</v>
      </c>
      <c r="I102" s="14">
        <f>[1]!Table1[[#This Row],[Stock Awal]]+[1]!Table1[[#This Row],[Stok Masuk]]-[1]!Table1[[#This Row],[Stok Keluar]]</f>
        <v>4</v>
      </c>
    </row>
    <row r="103" spans="1:9" ht="17">
      <c r="A103" s="10" t="s">
        <v>215</v>
      </c>
      <c r="B103" s="11" t="s">
        <v>216</v>
      </c>
      <c r="C103" s="12">
        <v>41000</v>
      </c>
      <c r="D103" s="10" t="s">
        <v>12</v>
      </c>
      <c r="E103" s="10" t="s">
        <v>217</v>
      </c>
      <c r="F103" s="10"/>
      <c r="G103" s="13">
        <f>SUMIF([1]!Table3[Kode],[1]!Table1[[#This Row],[Kode]],[1]!Table3[Qty])</f>
        <v>20</v>
      </c>
      <c r="H103" s="13">
        <f>SUMIF([1]!Table35[Kode],[1]!Table1[[#This Row],[Kode]],[1]!Table35[Qty])</f>
        <v>10</v>
      </c>
      <c r="I103" s="14">
        <f>[1]!Table1[[#This Row],[Stock Awal]]+[1]!Table1[[#This Row],[Stok Masuk]]-[1]!Table1[[#This Row],[Stok Keluar]]</f>
        <v>10</v>
      </c>
    </row>
    <row r="104" spans="1:9" ht="17">
      <c r="A104" s="10" t="s">
        <v>218</v>
      </c>
      <c r="B104" s="11" t="s">
        <v>219</v>
      </c>
      <c r="C104" s="12">
        <v>35000</v>
      </c>
      <c r="D104" s="10" t="s">
        <v>12</v>
      </c>
      <c r="E104" s="10" t="s">
        <v>13</v>
      </c>
      <c r="F104" s="10"/>
      <c r="G104" s="13">
        <f>SUMIF([1]!Table3[Kode],[1]!Table1[[#This Row],[Kode]],[1]!Table3[Qty])</f>
        <v>10</v>
      </c>
      <c r="H104" s="13">
        <f>SUMIF([1]!Table35[Kode],[1]!Table1[[#This Row],[Kode]],[1]!Table35[Qty])</f>
        <v>10</v>
      </c>
      <c r="I104" s="14">
        <f>[1]!Table1[[#This Row],[Stock Awal]]+[1]!Table1[[#This Row],[Stok Masuk]]-[1]!Table1[[#This Row],[Stok Keluar]]</f>
        <v>0</v>
      </c>
    </row>
    <row r="105" spans="1:9" ht="17">
      <c r="A105" s="10" t="s">
        <v>220</v>
      </c>
      <c r="B105" s="11" t="s">
        <v>221</v>
      </c>
      <c r="C105" s="12">
        <v>35000</v>
      </c>
      <c r="D105" s="10" t="s">
        <v>12</v>
      </c>
      <c r="E105" s="10" t="s">
        <v>13</v>
      </c>
      <c r="F105" s="10"/>
      <c r="G105" s="13">
        <f>SUMIF([1]!Table3[Kode],[1]!Table1[[#This Row],[Kode]],[1]!Table3[Qty])</f>
        <v>5</v>
      </c>
      <c r="H105" s="13">
        <f>SUMIF([1]!Table35[Kode],[1]!Table1[[#This Row],[Kode]],[1]!Table35[Qty])</f>
        <v>1</v>
      </c>
      <c r="I105" s="14">
        <f>[1]!Table1[[#This Row],[Stock Awal]]+[1]!Table1[[#This Row],[Stok Masuk]]-[1]!Table1[[#This Row],[Stok Keluar]]</f>
        <v>4</v>
      </c>
    </row>
    <row r="106" spans="1:9" ht="17">
      <c r="A106" s="10" t="s">
        <v>222</v>
      </c>
      <c r="B106" s="11" t="s">
        <v>223</v>
      </c>
      <c r="C106" s="12">
        <v>35000</v>
      </c>
      <c r="D106" s="10" t="s">
        <v>12</v>
      </c>
      <c r="E106" s="10" t="s">
        <v>13</v>
      </c>
      <c r="F106" s="10"/>
      <c r="G106" s="13">
        <f>SUMIF([1]!Table3[Kode],[1]!Table1[[#This Row],[Kode]],[1]!Table3[Qty])</f>
        <v>5</v>
      </c>
      <c r="H106" s="13">
        <f>SUMIF([1]!Table35[Kode],[1]!Table1[[#This Row],[Kode]],[1]!Table35[Qty])</f>
        <v>3</v>
      </c>
      <c r="I106" s="14">
        <f>[1]!Table1[[#This Row],[Stock Awal]]+[1]!Table1[[#This Row],[Stok Masuk]]-[1]!Table1[[#This Row],[Stok Keluar]]</f>
        <v>2</v>
      </c>
    </row>
    <row r="107" spans="1:9" ht="17">
      <c r="A107" s="10" t="s">
        <v>224</v>
      </c>
      <c r="B107" s="11" t="s">
        <v>225</v>
      </c>
      <c r="C107" s="12">
        <v>38000</v>
      </c>
      <c r="D107" s="10" t="s">
        <v>96</v>
      </c>
      <c r="E107" s="10" t="s">
        <v>226</v>
      </c>
      <c r="F107" s="10">
        <v>1</v>
      </c>
      <c r="G107" s="13">
        <f>SUMIF([1]!Table3[Kode],[1]!Table1[[#This Row],[Kode]],[1]!Table3[Qty])</f>
        <v>25</v>
      </c>
      <c r="H107" s="13">
        <f>SUMIF([1]!Table35[Kode],[1]!Table1[[#This Row],[Kode]],[1]!Table35[Qty])</f>
        <v>22</v>
      </c>
      <c r="I107" s="14">
        <f>[1]!Table1[[#This Row],[Stock Awal]]+[1]!Table1[[#This Row],[Stok Masuk]]-[1]!Table1[[#This Row],[Stok Keluar]]</f>
        <v>4</v>
      </c>
    </row>
    <row r="108" spans="1:9" ht="17">
      <c r="A108" s="10" t="s">
        <v>227</v>
      </c>
      <c r="B108" s="11" t="s">
        <v>228</v>
      </c>
      <c r="C108" s="12">
        <v>38000</v>
      </c>
      <c r="D108" s="10" t="s">
        <v>96</v>
      </c>
      <c r="E108" s="10" t="s">
        <v>226</v>
      </c>
      <c r="F108" s="10"/>
      <c r="G108" s="13">
        <f>SUMIF([1]!Table3[Kode],[1]!Table1[[#This Row],[Kode]],[1]!Table3[Qty])</f>
        <v>45</v>
      </c>
      <c r="H108" s="13">
        <f>SUMIF([1]!Table35[Kode],[1]!Table1[[#This Row],[Kode]],[1]!Table35[Qty])</f>
        <v>34</v>
      </c>
      <c r="I108" s="14">
        <f>[1]!Table1[[#This Row],[Stock Awal]]+[1]!Table1[[#This Row],[Stok Masuk]]-[1]!Table1[[#This Row],[Stok Keluar]]</f>
        <v>11</v>
      </c>
    </row>
    <row r="109" spans="1:9" ht="17">
      <c r="A109" s="10" t="s">
        <v>229</v>
      </c>
      <c r="B109" s="11" t="s">
        <v>230</v>
      </c>
      <c r="C109" s="12">
        <v>38000</v>
      </c>
      <c r="D109" s="10" t="s">
        <v>96</v>
      </c>
      <c r="E109" s="10" t="s">
        <v>226</v>
      </c>
      <c r="F109" s="10"/>
      <c r="G109" s="13">
        <f>SUMIF([1]!Table3[Kode],[1]!Table1[[#This Row],[Kode]],[1]!Table3[Qty])</f>
        <v>26</v>
      </c>
      <c r="H109" s="13">
        <f>SUMIF([1]!Table35[Kode],[1]!Table1[[#This Row],[Kode]],[1]!Table35[Qty])</f>
        <v>9</v>
      </c>
      <c r="I109" s="14">
        <f>[1]!Table1[[#This Row],[Stock Awal]]+[1]!Table1[[#This Row],[Stok Masuk]]-[1]!Table1[[#This Row],[Stok Keluar]]</f>
        <v>17</v>
      </c>
    </row>
    <row r="110" spans="1:9" ht="17">
      <c r="A110" s="10" t="s">
        <v>231</v>
      </c>
      <c r="B110" s="11" t="s">
        <v>232</v>
      </c>
      <c r="C110" s="12">
        <v>38000</v>
      </c>
      <c r="D110" s="10" t="s">
        <v>96</v>
      </c>
      <c r="E110" s="10" t="s">
        <v>226</v>
      </c>
      <c r="F110" s="10">
        <v>1</v>
      </c>
      <c r="G110" s="13">
        <f>SUMIF([1]!Table3[Kode],[1]!Table1[[#This Row],[Kode]],[1]!Table3[Qty])</f>
        <v>35</v>
      </c>
      <c r="H110" s="13">
        <f>SUMIF([1]!Table35[Kode],[1]!Table1[[#This Row],[Kode]],[1]!Table35[Qty])</f>
        <v>20</v>
      </c>
      <c r="I110" s="14">
        <f>[1]!Table1[[#This Row],[Stock Awal]]+[1]!Table1[[#This Row],[Stok Masuk]]-[1]!Table1[[#This Row],[Stok Keluar]]</f>
        <v>16</v>
      </c>
    </row>
    <row r="111" spans="1:9" ht="17">
      <c r="A111" s="10" t="s">
        <v>233</v>
      </c>
      <c r="B111" s="11" t="s">
        <v>234</v>
      </c>
      <c r="C111" s="12">
        <v>38000</v>
      </c>
      <c r="D111" s="10" t="s">
        <v>96</v>
      </c>
      <c r="E111" s="10" t="s">
        <v>226</v>
      </c>
      <c r="F111" s="10">
        <v>-1</v>
      </c>
      <c r="G111" s="15">
        <f>SUMIF([1]!Table3[Kode],[1]!Table1[[#This Row],[Kode]],[1]!Table3[Qty])</f>
        <v>25</v>
      </c>
      <c r="H111" s="15">
        <f>SUMIF([1]!Table35[Kode],[1]!Table1[[#This Row],[Kode]],[1]!Table35[Qty])</f>
        <v>3</v>
      </c>
      <c r="I111" s="16">
        <f>[1]!Table1[[#This Row],[Stock Awal]]+[1]!Table1[[#This Row],[Stok Masuk]]-[1]!Table1[[#This Row],[Stok Keluar]]</f>
        <v>21</v>
      </c>
    </row>
    <row r="112" spans="1:9" ht="17">
      <c r="A112" s="10" t="s">
        <v>235</v>
      </c>
      <c r="B112" s="11" t="s">
        <v>236</v>
      </c>
      <c r="C112" s="12">
        <v>38000</v>
      </c>
      <c r="D112" s="10" t="s">
        <v>96</v>
      </c>
      <c r="E112" s="10" t="s">
        <v>226</v>
      </c>
      <c r="F112" s="10"/>
      <c r="G112" s="13">
        <f>SUMIF([1]!Table3[Kode],[1]!Table1[[#This Row],[Kode]],[1]!Table3[Qty])</f>
        <v>25</v>
      </c>
      <c r="H112" s="13">
        <f>SUMIF([1]!Table35[Kode],[1]!Table1[[#This Row],[Kode]],[1]!Table35[Qty])</f>
        <v>3</v>
      </c>
      <c r="I112" s="14">
        <f>[1]!Table1[[#This Row],[Stock Awal]]+[1]!Table1[[#This Row],[Stok Masuk]]-[1]!Table1[[#This Row],[Stok Keluar]]</f>
        <v>22</v>
      </c>
    </row>
    <row r="113" spans="1:9" ht="17">
      <c r="A113" s="10" t="s">
        <v>237</v>
      </c>
      <c r="B113" s="11" t="s">
        <v>238</v>
      </c>
      <c r="C113" s="12">
        <v>35000</v>
      </c>
      <c r="D113" s="10" t="s">
        <v>12</v>
      </c>
      <c r="E113" s="10" t="s">
        <v>13</v>
      </c>
      <c r="F113" s="10"/>
      <c r="G113" s="13">
        <f>SUMIF([1]!Table3[Kode],[1]!Table1[[#This Row],[Kode]],[1]!Table3[Qty])</f>
        <v>5</v>
      </c>
      <c r="H113" s="13">
        <f>SUMIF([1]!Table35[Kode],[1]!Table1[[#This Row],[Kode]],[1]!Table35[Qty])</f>
        <v>1</v>
      </c>
      <c r="I113" s="14">
        <f>[1]!Table1[[#This Row],[Stock Awal]]+[1]!Table1[[#This Row],[Stok Masuk]]-[1]!Table1[[#This Row],[Stok Keluar]]</f>
        <v>4</v>
      </c>
    </row>
    <row r="114" spans="1:9" ht="17">
      <c r="A114" s="10" t="s">
        <v>239</v>
      </c>
      <c r="B114" s="11" t="s">
        <v>240</v>
      </c>
      <c r="C114" s="12">
        <v>35000</v>
      </c>
      <c r="D114" s="10" t="s">
        <v>12</v>
      </c>
      <c r="E114" s="10" t="s">
        <v>13</v>
      </c>
      <c r="F114" s="10"/>
      <c r="G114" s="13">
        <f>SUMIF([1]!Table3[Kode],[1]!Table1[[#This Row],[Kode]],[1]!Table3[Qty])</f>
        <v>5</v>
      </c>
      <c r="H114" s="13">
        <f>SUMIF([1]!Table35[Kode],[1]!Table1[[#This Row],[Kode]],[1]!Table35[Qty])</f>
        <v>5</v>
      </c>
      <c r="I114" s="14">
        <f>[1]!Table1[[#This Row],[Stock Awal]]+[1]!Table1[[#This Row],[Stok Masuk]]-[1]!Table1[[#This Row],[Stok Keluar]]</f>
        <v>0</v>
      </c>
    </row>
    <row r="115" spans="1:9" ht="17">
      <c r="A115" s="10" t="s">
        <v>241</v>
      </c>
      <c r="B115" s="11" t="s">
        <v>242</v>
      </c>
      <c r="C115" s="12">
        <v>35000</v>
      </c>
      <c r="D115" s="10" t="s">
        <v>12</v>
      </c>
      <c r="E115" s="10" t="s">
        <v>13</v>
      </c>
      <c r="F115" s="10"/>
      <c r="G115" s="13">
        <f>SUMIF([1]!Table3[Kode],[1]!Table1[[#This Row],[Kode]],[1]!Table3[Qty])</f>
        <v>3</v>
      </c>
      <c r="H115" s="13">
        <f>SUMIF([1]!Table35[Kode],[1]!Table1[[#This Row],[Kode]],[1]!Table35[Qty])</f>
        <v>1</v>
      </c>
      <c r="I115" s="14">
        <f>[1]!Table1[[#This Row],[Stock Awal]]+[1]!Table1[[#This Row],[Stok Masuk]]-[1]!Table1[[#This Row],[Stok Keluar]]</f>
        <v>2</v>
      </c>
    </row>
    <row r="116" spans="1:9" ht="17">
      <c r="A116" s="10" t="s">
        <v>243</v>
      </c>
      <c r="B116" s="11" t="s">
        <v>244</v>
      </c>
      <c r="C116" s="12">
        <v>35000</v>
      </c>
      <c r="D116" s="10" t="s">
        <v>12</v>
      </c>
      <c r="E116" s="10" t="s">
        <v>13</v>
      </c>
      <c r="F116" s="10"/>
      <c r="G116" s="13">
        <f>SUMIF([1]!Table3[Kode],[1]!Table1[[#This Row],[Kode]],[1]!Table3[Qty])</f>
        <v>3</v>
      </c>
      <c r="H116" s="13">
        <f>SUMIF([1]!Table35[Kode],[1]!Table1[[#This Row],[Kode]],[1]!Table35[Qty])</f>
        <v>2</v>
      </c>
      <c r="I116" s="14">
        <f>[1]!Table1[[#This Row],[Stock Awal]]+[1]!Table1[[#This Row],[Stok Masuk]]-[1]!Table1[[#This Row],[Stok Keluar]]</f>
        <v>1</v>
      </c>
    </row>
    <row r="117" spans="1:9" ht="17">
      <c r="A117" s="10" t="s">
        <v>245</v>
      </c>
      <c r="B117" s="11" t="s">
        <v>246</v>
      </c>
      <c r="C117" s="12">
        <v>35000</v>
      </c>
      <c r="D117" s="10" t="s">
        <v>12</v>
      </c>
      <c r="E117" s="10" t="s">
        <v>13</v>
      </c>
      <c r="F117" s="10"/>
      <c r="G117" s="13">
        <f>SUMIF([1]!Table3[Kode],[1]!Table1[[#This Row],[Kode]],[1]!Table3[Qty])</f>
        <v>3</v>
      </c>
      <c r="H117" s="13">
        <f>SUMIF([1]!Table35[Kode],[1]!Table1[[#This Row],[Kode]],[1]!Table35[Qty])</f>
        <v>1</v>
      </c>
      <c r="I117" s="14">
        <f>[1]!Table1[[#This Row],[Stock Awal]]+[1]!Table1[[#This Row],[Stok Masuk]]-[1]!Table1[[#This Row],[Stok Keluar]]</f>
        <v>2</v>
      </c>
    </row>
    <row r="118" spans="1:9" ht="17">
      <c r="A118" s="10" t="s">
        <v>247</v>
      </c>
      <c r="B118" s="11" t="s">
        <v>248</v>
      </c>
      <c r="C118" s="12">
        <v>35000</v>
      </c>
      <c r="D118" s="10" t="s">
        <v>12</v>
      </c>
      <c r="E118" s="10" t="s">
        <v>13</v>
      </c>
      <c r="F118" s="10"/>
      <c r="G118" s="13">
        <f>SUMIF([1]!Table3[Kode],[1]!Table1[[#This Row],[Kode]],[1]!Table3[Qty])</f>
        <v>0</v>
      </c>
      <c r="H118" s="13">
        <f>SUMIF([1]!Table35[Kode],[1]!Table1[[#This Row],[Kode]],[1]!Table35[Qty])</f>
        <v>0</v>
      </c>
      <c r="I118" s="14">
        <f>[1]!Table1[[#This Row],[Stock Awal]]+[1]!Table1[[#This Row],[Stok Masuk]]-[1]!Table1[[#This Row],[Stok Keluar]]</f>
        <v>0</v>
      </c>
    </row>
    <row r="119" spans="1:9" ht="17">
      <c r="A119" s="10" t="s">
        <v>249</v>
      </c>
      <c r="B119" s="11" t="s">
        <v>250</v>
      </c>
      <c r="C119" s="12">
        <v>36000</v>
      </c>
      <c r="D119" s="10" t="s">
        <v>171</v>
      </c>
      <c r="E119" s="10" t="s">
        <v>251</v>
      </c>
      <c r="F119" s="10"/>
      <c r="G119" s="13">
        <f>SUMIF([1]!Table3[Kode],[1]!Table1[[#This Row],[Kode]],[1]!Table3[Qty])</f>
        <v>2</v>
      </c>
      <c r="H119" s="13">
        <f>SUMIF([1]!Table35[Kode],[1]!Table1[[#This Row],[Kode]],[1]!Table35[Qty])</f>
        <v>0</v>
      </c>
      <c r="I119" s="14">
        <f>[1]!Table1[[#This Row],[Stock Awal]]+[1]!Table1[[#This Row],[Stok Masuk]]-[1]!Table1[[#This Row],[Stok Keluar]]</f>
        <v>2</v>
      </c>
    </row>
    <row r="120" spans="1:9" ht="17">
      <c r="A120" s="10" t="s">
        <v>252</v>
      </c>
      <c r="B120" s="11" t="s">
        <v>253</v>
      </c>
      <c r="C120" s="12">
        <v>35000</v>
      </c>
      <c r="D120" s="10" t="s">
        <v>96</v>
      </c>
      <c r="E120" s="10" t="s">
        <v>254</v>
      </c>
      <c r="F120" s="10"/>
      <c r="G120" s="13">
        <f>SUMIF([1]!Table3[Kode],[1]!Table1[[#This Row],[Kode]],[1]!Table3[Qty])</f>
        <v>2</v>
      </c>
      <c r="H120" s="13">
        <f>SUMIF([1]!Table35[Kode],[1]!Table1[[#This Row],[Kode]],[1]!Table35[Qty])</f>
        <v>2</v>
      </c>
      <c r="I120" s="14">
        <f>[1]!Table1[[#This Row],[Stock Awal]]+[1]!Table1[[#This Row],[Stok Masuk]]-[1]!Table1[[#This Row],[Stok Keluar]]</f>
        <v>0</v>
      </c>
    </row>
    <row r="121" spans="1:9" ht="17">
      <c r="A121" s="10" t="s">
        <v>255</v>
      </c>
      <c r="B121" s="11" t="s">
        <v>256</v>
      </c>
      <c r="C121" s="12">
        <v>35000</v>
      </c>
      <c r="D121" s="10" t="s">
        <v>96</v>
      </c>
      <c r="E121" s="10" t="s">
        <v>254</v>
      </c>
      <c r="F121" s="10"/>
      <c r="G121" s="13">
        <f>SUMIF([1]!Table3[Kode],[1]!Table1[[#This Row],[Kode]],[1]!Table3[Qty])</f>
        <v>3</v>
      </c>
      <c r="H121" s="13">
        <f>SUMIF([1]!Table35[Kode],[1]!Table1[[#This Row],[Kode]],[1]!Table35[Qty])</f>
        <v>1</v>
      </c>
      <c r="I121" s="14">
        <f>[1]!Table1[[#This Row],[Stock Awal]]+[1]!Table1[[#This Row],[Stok Masuk]]-[1]!Table1[[#This Row],[Stok Keluar]]</f>
        <v>2</v>
      </c>
    </row>
    <row r="122" spans="1:9" ht="17">
      <c r="A122" s="10" t="s">
        <v>257</v>
      </c>
      <c r="B122" s="11" t="s">
        <v>258</v>
      </c>
      <c r="C122" s="12">
        <v>35000</v>
      </c>
      <c r="D122" s="10" t="s">
        <v>96</v>
      </c>
      <c r="E122" s="10" t="s">
        <v>254</v>
      </c>
      <c r="F122" s="10"/>
      <c r="G122" s="13">
        <f>SUMIF([1]!Table3[Kode],[1]!Table1[[#This Row],[Kode]],[1]!Table3[Qty])</f>
        <v>3</v>
      </c>
      <c r="H122" s="13">
        <f>SUMIF([1]!Table35[Kode],[1]!Table1[[#This Row],[Kode]],[1]!Table35[Qty])</f>
        <v>3</v>
      </c>
      <c r="I122" s="14">
        <f>[1]!Table1[[#This Row],[Stock Awal]]+[1]!Table1[[#This Row],[Stok Masuk]]-[1]!Table1[[#This Row],[Stok Keluar]]</f>
        <v>0</v>
      </c>
    </row>
    <row r="123" spans="1:9" ht="17">
      <c r="A123" s="10" t="s">
        <v>259</v>
      </c>
      <c r="B123" s="11" t="s">
        <v>260</v>
      </c>
      <c r="C123" s="12">
        <v>30000</v>
      </c>
      <c r="D123" s="10" t="s">
        <v>12</v>
      </c>
      <c r="E123" s="10" t="s">
        <v>261</v>
      </c>
      <c r="F123" s="10"/>
      <c r="G123" s="13">
        <f>SUMIF([1]!Table3[Kode],[1]!Table1[[#This Row],[Kode]],[1]!Table3[Qty])</f>
        <v>3</v>
      </c>
      <c r="H123" s="13">
        <f>SUMIF([1]!Table35[Kode],[1]!Table1[[#This Row],[Kode]],[1]!Table35[Qty])</f>
        <v>0</v>
      </c>
      <c r="I123" s="14">
        <f>[1]!Table1[[#This Row],[Stock Awal]]+[1]!Table1[[#This Row],[Stok Masuk]]-[1]!Table1[[#This Row],[Stok Keluar]]</f>
        <v>3</v>
      </c>
    </row>
    <row r="124" spans="1:9" ht="17">
      <c r="A124" s="10" t="s">
        <v>262</v>
      </c>
      <c r="B124" s="11" t="s">
        <v>263</v>
      </c>
      <c r="C124" s="12">
        <v>30000</v>
      </c>
      <c r="D124" s="10" t="s">
        <v>12</v>
      </c>
      <c r="E124" s="10" t="s">
        <v>261</v>
      </c>
      <c r="F124" s="10"/>
      <c r="G124" s="13">
        <f>SUMIF([1]!Table3[Kode],[1]!Table1[[#This Row],[Kode]],[1]!Table3[Qty])</f>
        <v>3</v>
      </c>
      <c r="H124" s="13">
        <f>SUMIF([1]!Table35[Kode],[1]!Table1[[#This Row],[Kode]],[1]!Table35[Qty])</f>
        <v>0</v>
      </c>
      <c r="I124" s="14">
        <f>[1]!Table1[[#This Row],[Stock Awal]]+[1]!Table1[[#This Row],[Stok Masuk]]-[1]!Table1[[#This Row],[Stok Keluar]]</f>
        <v>3</v>
      </c>
    </row>
    <row r="125" spans="1:9" ht="17">
      <c r="A125" s="10" t="s">
        <v>264</v>
      </c>
      <c r="B125" s="11" t="s">
        <v>265</v>
      </c>
      <c r="C125" s="12">
        <v>35000</v>
      </c>
      <c r="D125" s="10" t="s">
        <v>12</v>
      </c>
      <c r="E125" s="10" t="s">
        <v>13</v>
      </c>
      <c r="F125" s="10"/>
      <c r="G125" s="13">
        <f>SUMIF([1]!Table3[Kode],[1]!Table1[[#This Row],[Kode]],[1]!Table3[Qty])</f>
        <v>8</v>
      </c>
      <c r="H125" s="13">
        <f>SUMIF([1]!Table35[Kode],[1]!Table1[[#This Row],[Kode]],[1]!Table35[Qty])</f>
        <v>4</v>
      </c>
      <c r="I125" s="14">
        <f>[1]!Table1[[#This Row],[Stock Awal]]+[1]!Table1[[#This Row],[Stok Masuk]]-[1]!Table1[[#This Row],[Stok Keluar]]</f>
        <v>4</v>
      </c>
    </row>
    <row r="126" spans="1:9" ht="17">
      <c r="A126" s="10" t="s">
        <v>266</v>
      </c>
      <c r="B126" s="11" t="s">
        <v>267</v>
      </c>
      <c r="C126" s="12">
        <v>35000</v>
      </c>
      <c r="D126" s="10" t="s">
        <v>12</v>
      </c>
      <c r="E126" s="10" t="s">
        <v>13</v>
      </c>
      <c r="F126" s="10"/>
      <c r="G126" s="13">
        <f>SUMIF([1]!Table3[Kode],[1]!Table1[[#This Row],[Kode]],[1]!Table3[Qty])</f>
        <v>3</v>
      </c>
      <c r="H126" s="13">
        <f>SUMIF([1]!Table35[Kode],[1]!Table1[[#This Row],[Kode]],[1]!Table35[Qty])</f>
        <v>3</v>
      </c>
      <c r="I126" s="14">
        <f>[1]!Table1[[#This Row],[Stock Awal]]+[1]!Table1[[#This Row],[Stok Masuk]]-[1]!Table1[[#This Row],[Stok Keluar]]</f>
        <v>0</v>
      </c>
    </row>
    <row r="127" spans="1:9" ht="17">
      <c r="A127" s="10" t="s">
        <v>268</v>
      </c>
      <c r="B127" s="11" t="s">
        <v>269</v>
      </c>
      <c r="C127" s="12">
        <v>35000</v>
      </c>
      <c r="D127" s="10" t="s">
        <v>12</v>
      </c>
      <c r="E127" s="10" t="s">
        <v>13</v>
      </c>
      <c r="F127" s="10"/>
      <c r="G127" s="13">
        <f>SUMIF([1]!Table3[Kode],[1]!Table1[[#This Row],[Kode]],[1]!Table3[Qty])</f>
        <v>6</v>
      </c>
      <c r="H127" s="13">
        <f>SUMIF([1]!Table35[Kode],[1]!Table1[[#This Row],[Kode]],[1]!Table35[Qty])</f>
        <v>5</v>
      </c>
      <c r="I127" s="14">
        <f>[1]!Table1[[#This Row],[Stock Awal]]+[1]!Table1[[#This Row],[Stok Masuk]]-[1]!Table1[[#This Row],[Stok Keluar]]</f>
        <v>1</v>
      </c>
    </row>
    <row r="128" spans="1:9" ht="17">
      <c r="A128" s="10" t="s">
        <v>270</v>
      </c>
      <c r="B128" s="11" t="s">
        <v>271</v>
      </c>
      <c r="C128" s="12">
        <v>35000</v>
      </c>
      <c r="D128" s="10" t="s">
        <v>12</v>
      </c>
      <c r="E128" s="10" t="s">
        <v>13</v>
      </c>
      <c r="F128" s="10"/>
      <c r="G128" s="13">
        <f>SUMIF([1]!Table3[Kode],[1]!Table1[[#This Row],[Kode]],[1]!Table3[Qty])</f>
        <v>3</v>
      </c>
      <c r="H128" s="13">
        <f>SUMIF([1]!Table35[Kode],[1]!Table1[[#This Row],[Kode]],[1]!Table35[Qty])</f>
        <v>2</v>
      </c>
      <c r="I128" s="14">
        <f>[1]!Table1[[#This Row],[Stock Awal]]+[1]!Table1[[#This Row],[Stok Masuk]]-[1]!Table1[[#This Row],[Stok Keluar]]</f>
        <v>1</v>
      </c>
    </row>
    <row r="129" spans="1:9" ht="17">
      <c r="A129" s="10" t="s">
        <v>272</v>
      </c>
      <c r="B129" s="11" t="s">
        <v>273</v>
      </c>
      <c r="C129" s="12">
        <v>35000</v>
      </c>
      <c r="D129" s="10" t="s">
        <v>12</v>
      </c>
      <c r="E129" s="10" t="s">
        <v>13</v>
      </c>
      <c r="F129" s="10"/>
      <c r="G129" s="13">
        <f>SUMIF([1]!Table3[Kode],[1]!Table1[[#This Row],[Kode]],[1]!Table3[Qty])</f>
        <v>3</v>
      </c>
      <c r="H129" s="13">
        <f>SUMIF([1]!Table35[Kode],[1]!Table1[[#This Row],[Kode]],[1]!Table35[Qty])</f>
        <v>1</v>
      </c>
      <c r="I129" s="14">
        <f>[1]!Table1[[#This Row],[Stock Awal]]+[1]!Table1[[#This Row],[Stok Masuk]]-[1]!Table1[[#This Row],[Stok Keluar]]</f>
        <v>2</v>
      </c>
    </row>
    <row r="130" spans="1:9" ht="17">
      <c r="A130" s="10" t="s">
        <v>274</v>
      </c>
      <c r="B130" s="11" t="s">
        <v>275</v>
      </c>
      <c r="C130" s="12">
        <v>35000</v>
      </c>
      <c r="D130" s="10" t="s">
        <v>12</v>
      </c>
      <c r="E130" s="10" t="s">
        <v>13</v>
      </c>
      <c r="F130" s="10"/>
      <c r="G130" s="13">
        <f>SUMIF([1]!Table3[Kode],[1]!Table1[[#This Row],[Kode]],[1]!Table3[Qty])</f>
        <v>3</v>
      </c>
      <c r="H130" s="13">
        <f>SUMIF([1]!Table35[Kode],[1]!Table1[[#This Row],[Kode]],[1]!Table35[Qty])</f>
        <v>0</v>
      </c>
      <c r="I130" s="14">
        <f>[1]!Table1[[#This Row],[Stock Awal]]+[1]!Table1[[#This Row],[Stok Masuk]]-[1]!Table1[[#This Row],[Stok Keluar]]</f>
        <v>3</v>
      </c>
    </row>
    <row r="131" spans="1:9" ht="17">
      <c r="A131" s="10" t="s">
        <v>276</v>
      </c>
      <c r="B131" s="11" t="s">
        <v>277</v>
      </c>
      <c r="C131" s="12">
        <v>35000</v>
      </c>
      <c r="D131" s="10" t="s">
        <v>12</v>
      </c>
      <c r="E131" s="10" t="s">
        <v>13</v>
      </c>
      <c r="F131" s="10"/>
      <c r="G131" s="13">
        <f>SUMIF([1]!Table3[Kode],[1]!Table1[[#This Row],[Kode]],[1]!Table3[Qty])</f>
        <v>5</v>
      </c>
      <c r="H131" s="13">
        <f>SUMIF([1]!Table35[Kode],[1]!Table1[[#This Row],[Kode]],[1]!Table35[Qty])</f>
        <v>5</v>
      </c>
      <c r="I131" s="14">
        <f>[1]!Table1[[#This Row],[Stock Awal]]+[1]!Table1[[#This Row],[Stok Masuk]]-[1]!Table1[[#This Row],[Stok Keluar]]</f>
        <v>0</v>
      </c>
    </row>
    <row r="132" spans="1:9" ht="17">
      <c r="A132" s="10" t="s">
        <v>278</v>
      </c>
      <c r="B132" s="11" t="s">
        <v>279</v>
      </c>
      <c r="C132" s="12">
        <v>35000</v>
      </c>
      <c r="D132" s="10" t="s">
        <v>96</v>
      </c>
      <c r="E132" s="10" t="s">
        <v>280</v>
      </c>
      <c r="F132" s="10"/>
      <c r="G132" s="13">
        <f>SUMIF([1]!Table3[Kode],[1]!Table1[[#This Row],[Kode]],[1]!Table3[Qty])</f>
        <v>3</v>
      </c>
      <c r="H132" s="13">
        <f>SUMIF([1]!Table35[Kode],[1]!Table1[[#This Row],[Kode]],[1]!Table35[Qty])</f>
        <v>0</v>
      </c>
      <c r="I132" s="14">
        <f>[1]!Table1[[#This Row],[Stock Awal]]+[1]!Table1[[#This Row],[Stok Masuk]]-[1]!Table1[[#This Row],[Stok Keluar]]</f>
        <v>3</v>
      </c>
    </row>
    <row r="133" spans="1:9" ht="17">
      <c r="A133" s="10" t="s">
        <v>281</v>
      </c>
      <c r="B133" s="11" t="s">
        <v>282</v>
      </c>
      <c r="C133" s="12">
        <v>27000</v>
      </c>
      <c r="D133" s="10" t="s">
        <v>12</v>
      </c>
      <c r="E133" s="10" t="s">
        <v>283</v>
      </c>
      <c r="F133" s="10"/>
      <c r="G133" s="13">
        <f>SUMIF([1]!Table3[Kode],[1]!Table1[[#This Row],[Kode]],[1]!Table3[Qty])</f>
        <v>3</v>
      </c>
      <c r="H133" s="13">
        <f>SUMIF([1]!Table35[Kode],[1]!Table1[[#This Row],[Kode]],[1]!Table35[Qty])</f>
        <v>0</v>
      </c>
      <c r="I133" s="14">
        <f>[1]!Table1[[#This Row],[Stock Awal]]+[1]!Table1[[#This Row],[Stok Masuk]]-[1]!Table1[[#This Row],[Stok Keluar]]</f>
        <v>3</v>
      </c>
    </row>
    <row r="134" spans="1:9" ht="17">
      <c r="A134" s="10" t="s">
        <v>284</v>
      </c>
      <c r="B134" s="11" t="s">
        <v>285</v>
      </c>
      <c r="C134" s="12">
        <v>27000</v>
      </c>
      <c r="D134" s="10" t="s">
        <v>12</v>
      </c>
      <c r="E134" s="10" t="s">
        <v>283</v>
      </c>
      <c r="F134" s="10">
        <v>1</v>
      </c>
      <c r="G134" s="15">
        <f>SUMIF([1]!Table3[Kode],[1]!Table1[[#This Row],[Kode]],[1]!Table3[Qty])</f>
        <v>3</v>
      </c>
      <c r="H134" s="15">
        <f>SUMIF([1]!Table35[Kode],[1]!Table1[[#This Row],[Kode]],[1]!Table35[Qty])</f>
        <v>4</v>
      </c>
      <c r="I134" s="16">
        <f>[1]!Table1[[#This Row],[Stock Awal]]+[1]!Table1[[#This Row],[Stok Masuk]]-[1]!Table1[[#This Row],[Stok Keluar]]</f>
        <v>0</v>
      </c>
    </row>
    <row r="135" spans="1:9" ht="34">
      <c r="A135" s="20" t="s">
        <v>286</v>
      </c>
      <c r="B135" s="21" t="s">
        <v>287</v>
      </c>
      <c r="C135" s="12">
        <v>32000</v>
      </c>
      <c r="D135" s="10"/>
      <c r="E135" s="10"/>
      <c r="F135" s="10"/>
      <c r="G135" s="15">
        <f>SUMIF([1]!Table3[Kode],[1]!Table1[[#This Row],[Kode]],[1]!Table3[Qty])</f>
        <v>0</v>
      </c>
      <c r="H135" s="15">
        <f>SUMIF([1]!Table35[Kode],[1]!Table1[[#This Row],[Kode]],[1]!Table35[Qty])</f>
        <v>-5</v>
      </c>
      <c r="I135" s="16">
        <f>[1]!Table1[[#This Row],[Stock Awal]]+[1]!Table1[[#This Row],[Stok Masuk]]-[1]!Table1[[#This Row],[Stok Keluar]]</f>
        <v>5</v>
      </c>
    </row>
    <row r="136" spans="1:9" ht="34">
      <c r="A136" s="20" t="s">
        <v>288</v>
      </c>
      <c r="B136" s="21" t="s">
        <v>289</v>
      </c>
      <c r="C136" s="12">
        <v>32000</v>
      </c>
      <c r="D136" s="10"/>
      <c r="E136" s="10"/>
      <c r="F136" s="10"/>
      <c r="G136" s="15">
        <f>SUMIF([1]!Table3[Kode],[1]!Table1[[#This Row],[Kode]],[1]!Table3[Qty])</f>
        <v>0</v>
      </c>
      <c r="H136" s="15">
        <f>SUMIF([1]!Table35[Kode],[1]!Table1[[#This Row],[Kode]],[1]!Table35[Qty])</f>
        <v>-5</v>
      </c>
      <c r="I136" s="16">
        <f>[1]!Table1[[#This Row],[Stock Awal]]+[1]!Table1[[#This Row],[Stok Masuk]]-[1]!Table1[[#This Row],[Stok Keluar]]</f>
        <v>5</v>
      </c>
    </row>
    <row r="137" spans="1:9">
      <c r="A137" s="22" t="s">
        <v>290</v>
      </c>
      <c r="B137" s="22" t="s">
        <v>291</v>
      </c>
      <c r="C137" s="12">
        <v>28000</v>
      </c>
      <c r="D137" s="10" t="s">
        <v>292</v>
      </c>
      <c r="E137" s="10" t="s">
        <v>293</v>
      </c>
      <c r="F137" s="10"/>
      <c r="G137" s="15">
        <f>SUMIF([1]!Table3[Kode],[1]!Table1[[#This Row],[Kode]],[1]!Table3[Qty])</f>
        <v>5</v>
      </c>
      <c r="H137" s="15">
        <f>SUMIF([1]!Table35[Kode],[1]!Table1[[#This Row],[Kode]],[1]!Table35[Qty])</f>
        <v>1</v>
      </c>
      <c r="I137" s="16">
        <f>[1]!Table1[[#This Row],[Stock Awal]]+[1]!Table1[[#This Row],[Stok Masuk]]-[1]!Table1[[#This Row],[Stok Keluar]]</f>
        <v>4</v>
      </c>
    </row>
    <row r="138" spans="1:9">
      <c r="A138" s="23" t="s">
        <v>294</v>
      </c>
      <c r="B138" s="23" t="s">
        <v>295</v>
      </c>
      <c r="C138" s="12">
        <v>28000</v>
      </c>
      <c r="D138" s="10" t="s">
        <v>292</v>
      </c>
      <c r="E138" s="10" t="s">
        <v>293</v>
      </c>
      <c r="F138" s="10"/>
      <c r="G138" s="15">
        <f>SUMIF([1]!Table3[Kode],[1]!Table1[[#This Row],[Kode]],[1]!Table3[Qty])</f>
        <v>5</v>
      </c>
      <c r="H138" s="15">
        <f>SUMIF([1]!Table35[Kode],[1]!Table1[[#This Row],[Kode]],[1]!Table35[Qty])</f>
        <v>2</v>
      </c>
      <c r="I138" s="16">
        <f>[1]!Table1[[#This Row],[Stock Awal]]+[1]!Table1[[#This Row],[Stok Masuk]]-[1]!Table1[[#This Row],[Stok Keluar]]</f>
        <v>3</v>
      </c>
    </row>
    <row r="139" spans="1:9">
      <c r="A139" s="23" t="s">
        <v>296</v>
      </c>
      <c r="B139" s="23" t="s">
        <v>297</v>
      </c>
      <c r="C139" s="12">
        <v>28000</v>
      </c>
      <c r="D139" s="10" t="s">
        <v>292</v>
      </c>
      <c r="E139" s="10" t="s">
        <v>293</v>
      </c>
      <c r="F139" s="10"/>
      <c r="G139" s="15">
        <f>SUMIF([1]!Table3[Kode],[1]!Table1[[#This Row],[Kode]],[1]!Table3[Qty])</f>
        <v>5</v>
      </c>
      <c r="H139" s="15">
        <f>SUMIF([1]!Table35[Kode],[1]!Table1[[#This Row],[Kode]],[1]!Table35[Qty])</f>
        <v>2</v>
      </c>
      <c r="I139" s="16">
        <f>[1]!Table1[[#This Row],[Stock Awal]]+[1]!Table1[[#This Row],[Stok Masuk]]-[1]!Table1[[#This Row],[Stok Keluar]]</f>
        <v>3</v>
      </c>
    </row>
    <row r="140" spans="1:9">
      <c r="A140" s="23" t="s">
        <v>298</v>
      </c>
      <c r="B140" s="23" t="s">
        <v>299</v>
      </c>
      <c r="C140" s="12">
        <v>28000</v>
      </c>
      <c r="D140" s="10" t="s">
        <v>292</v>
      </c>
      <c r="E140" s="10" t="s">
        <v>293</v>
      </c>
      <c r="F140" s="10"/>
      <c r="G140" s="15">
        <f>SUMIF([1]!Table3[Kode],[1]!Table1[[#This Row],[Kode]],[1]!Table3[Qty])</f>
        <v>5</v>
      </c>
      <c r="H140" s="15">
        <f>SUMIF([1]!Table35[Kode],[1]!Table1[[#This Row],[Kode]],[1]!Table35[Qty])</f>
        <v>0</v>
      </c>
      <c r="I140" s="16">
        <f>[1]!Table1[[#This Row],[Stock Awal]]+[1]!Table1[[#This Row],[Stok Masuk]]-[1]!Table1[[#This Row],[Stok Keluar]]</f>
        <v>5</v>
      </c>
    </row>
    <row r="141" spans="1:9">
      <c r="A141" s="23" t="s">
        <v>300</v>
      </c>
      <c r="B141" s="23" t="s">
        <v>301</v>
      </c>
      <c r="C141" s="12">
        <v>28000</v>
      </c>
      <c r="D141" s="10" t="s">
        <v>292</v>
      </c>
      <c r="E141" s="10" t="s">
        <v>293</v>
      </c>
      <c r="F141" s="10"/>
      <c r="G141" s="15">
        <f>SUMIF([1]!Table3[Kode],[1]!Table1[[#This Row],[Kode]],[1]!Table3[Qty])</f>
        <v>5</v>
      </c>
      <c r="H141" s="15">
        <f>SUMIF([1]!Table35[Kode],[1]!Table1[[#This Row],[Kode]],[1]!Table35[Qty])</f>
        <v>0</v>
      </c>
      <c r="I141" s="16">
        <f>[1]!Table1[[#This Row],[Stock Awal]]+[1]!Table1[[#This Row],[Stok Masuk]]-[1]!Table1[[#This Row],[Stok Keluar]]</f>
        <v>5</v>
      </c>
    </row>
    <row r="142" spans="1:9">
      <c r="A142" s="23" t="s">
        <v>302</v>
      </c>
      <c r="B142" s="23" t="s">
        <v>303</v>
      </c>
      <c r="C142" s="12">
        <v>32000</v>
      </c>
      <c r="D142" s="10" t="s">
        <v>304</v>
      </c>
      <c r="E142" s="10" t="s">
        <v>305</v>
      </c>
      <c r="F142" s="10"/>
      <c r="G142" s="15">
        <f>SUMIF([1]!Table3[Kode],[1]!Table1[[#This Row],[Kode]],[1]!Table3[Qty])</f>
        <v>3</v>
      </c>
      <c r="H142" s="15">
        <f>SUMIF([1]!Table35[Kode],[1]!Table1[[#This Row],[Kode]],[1]!Table35[Qty])</f>
        <v>1</v>
      </c>
      <c r="I142" s="16">
        <f>[1]!Table1[[#This Row],[Stock Awal]]+[1]!Table1[[#This Row],[Stok Masuk]]-[1]!Table1[[#This Row],[Stok Keluar]]</f>
        <v>2</v>
      </c>
    </row>
    <row r="143" spans="1:9">
      <c r="A143" s="23" t="s">
        <v>306</v>
      </c>
      <c r="B143" s="23" t="s">
        <v>307</v>
      </c>
      <c r="C143" s="12">
        <v>32000</v>
      </c>
      <c r="D143" s="10" t="s">
        <v>304</v>
      </c>
      <c r="E143" s="10" t="s">
        <v>305</v>
      </c>
      <c r="F143" s="10"/>
      <c r="G143" s="15">
        <f>SUMIF([1]!Table3[Kode],[1]!Table1[[#This Row],[Kode]],[1]!Table3[Qty])</f>
        <v>3</v>
      </c>
      <c r="H143" s="15">
        <f>SUMIF([1]!Table35[Kode],[1]!Table1[[#This Row],[Kode]],[1]!Table35[Qty])</f>
        <v>1</v>
      </c>
      <c r="I143" s="16">
        <f>[1]!Table1[[#This Row],[Stock Awal]]+[1]!Table1[[#This Row],[Stok Masuk]]-[1]!Table1[[#This Row],[Stok Keluar]]</f>
        <v>2</v>
      </c>
    </row>
    <row r="144" spans="1:9">
      <c r="A144" s="23" t="s">
        <v>308</v>
      </c>
      <c r="B144" s="23" t="s">
        <v>309</v>
      </c>
      <c r="C144" s="12">
        <v>27000</v>
      </c>
      <c r="D144" s="10" t="s">
        <v>292</v>
      </c>
      <c r="E144" s="10" t="s">
        <v>293</v>
      </c>
      <c r="F144" s="10"/>
      <c r="G144" s="15">
        <f>SUMIF([1]!Table3[Kode],[1]!Table1[[#This Row],[Kode]],[1]!Table3[Qty])</f>
        <v>5</v>
      </c>
      <c r="H144" s="15">
        <f>SUMIF([1]!Table35[Kode],[1]!Table1[[#This Row],[Kode]],[1]!Table35[Qty])</f>
        <v>3</v>
      </c>
      <c r="I144" s="16">
        <f>[1]!Table1[[#This Row],[Stock Awal]]+[1]!Table1[[#This Row],[Stok Masuk]]-[1]!Table1[[#This Row],[Stok Keluar]]</f>
        <v>2</v>
      </c>
    </row>
    <row r="145" spans="1:9">
      <c r="A145" s="23" t="s">
        <v>310</v>
      </c>
      <c r="B145" s="23" t="s">
        <v>311</v>
      </c>
      <c r="C145" s="12">
        <v>28000</v>
      </c>
      <c r="D145" s="10" t="s">
        <v>292</v>
      </c>
      <c r="E145" s="10" t="s">
        <v>293</v>
      </c>
      <c r="F145" s="10"/>
      <c r="G145" s="15">
        <f>SUMIF([1]!Table3[Kode],[1]!Table1[[#This Row],[Kode]],[1]!Table3[Qty])</f>
        <v>3</v>
      </c>
      <c r="H145" s="15">
        <f>SUMIF([1]!Table35[Kode],[1]!Table1[[#This Row],[Kode]],[1]!Table35[Qty])</f>
        <v>-1</v>
      </c>
      <c r="I145" s="16">
        <f>[1]!Table1[[#This Row],[Stock Awal]]+[1]!Table1[[#This Row],[Stok Masuk]]-[1]!Table1[[#This Row],[Stok Keluar]]</f>
        <v>4</v>
      </c>
    </row>
    <row r="146" spans="1:9">
      <c r="A146" s="23" t="s">
        <v>312</v>
      </c>
      <c r="B146" s="23" t="s">
        <v>313</v>
      </c>
      <c r="C146" s="12">
        <v>28000</v>
      </c>
      <c r="D146" s="10" t="s">
        <v>292</v>
      </c>
      <c r="E146" s="10" t="s">
        <v>293</v>
      </c>
      <c r="F146" s="10"/>
      <c r="G146" s="15">
        <f>SUMIF([1]!Table3[Kode],[1]!Table1[[#This Row],[Kode]],[1]!Table3[Qty])</f>
        <v>3</v>
      </c>
      <c r="H146" s="15">
        <f>SUMIF([1]!Table35[Kode],[1]!Table1[[#This Row],[Kode]],[1]!Table35[Qty])</f>
        <v>3</v>
      </c>
      <c r="I146" s="16">
        <f>[1]!Table1[[#This Row],[Stock Awal]]+[1]!Table1[[#This Row],[Stok Masuk]]-[1]!Table1[[#This Row],[Stok Keluar]]</f>
        <v>0</v>
      </c>
    </row>
    <row r="147" spans="1:9">
      <c r="A147" s="23" t="s">
        <v>314</v>
      </c>
      <c r="B147" s="23" t="s">
        <v>315</v>
      </c>
      <c r="C147" s="12">
        <v>28000</v>
      </c>
      <c r="D147" s="10" t="s">
        <v>292</v>
      </c>
      <c r="E147" s="10" t="s">
        <v>293</v>
      </c>
      <c r="F147" s="10"/>
      <c r="G147" s="15">
        <f>SUMIF([1]!Table3[Kode],[1]!Table1[[#This Row],[Kode]],[1]!Table3[Qty])</f>
        <v>9</v>
      </c>
      <c r="H147" s="15">
        <f>SUMIF([1]!Table35[Kode],[1]!Table1[[#This Row],[Kode]],[1]!Table35[Qty])</f>
        <v>4</v>
      </c>
      <c r="I147" s="16">
        <f>[1]!Table1[[#This Row],[Stock Awal]]+[1]!Table1[[#This Row],[Stok Masuk]]-[1]!Table1[[#This Row],[Stok Keluar]]</f>
        <v>5</v>
      </c>
    </row>
    <row r="148" spans="1:9">
      <c r="A148" s="23" t="s">
        <v>316</v>
      </c>
      <c r="B148" s="23" t="s">
        <v>317</v>
      </c>
      <c r="C148" s="12">
        <v>28000</v>
      </c>
      <c r="D148" s="10" t="s">
        <v>292</v>
      </c>
      <c r="E148" s="10" t="s">
        <v>293</v>
      </c>
      <c r="F148" s="10"/>
      <c r="G148" s="15">
        <f>SUMIF([1]!Table3[Kode],[1]!Table1[[#This Row],[Kode]],[1]!Table3[Qty])</f>
        <v>9</v>
      </c>
      <c r="H148" s="15">
        <f>SUMIF([1]!Table35[Kode],[1]!Table1[[#This Row],[Kode]],[1]!Table35[Qty])</f>
        <v>2</v>
      </c>
      <c r="I148" s="16">
        <f>[1]!Table1[[#This Row],[Stock Awal]]+[1]!Table1[[#This Row],[Stok Masuk]]-[1]!Table1[[#This Row],[Stok Keluar]]</f>
        <v>7</v>
      </c>
    </row>
    <row r="149" spans="1:9">
      <c r="A149" s="23" t="s">
        <v>318</v>
      </c>
      <c r="B149" s="23" t="s">
        <v>319</v>
      </c>
      <c r="C149" s="12">
        <v>28000</v>
      </c>
      <c r="D149" s="10" t="s">
        <v>292</v>
      </c>
      <c r="E149" s="10" t="s">
        <v>293</v>
      </c>
      <c r="F149" s="10">
        <v>1</v>
      </c>
      <c r="G149" s="15">
        <f>SUMIF([1]!Table3[Kode],[1]!Table1[[#This Row],[Kode]],[1]!Table3[Qty])</f>
        <v>3</v>
      </c>
      <c r="H149" s="15">
        <f>SUMIF([1]!Table35[Kode],[1]!Table1[[#This Row],[Kode]],[1]!Table35[Qty])</f>
        <v>-1</v>
      </c>
      <c r="I149" s="16">
        <f>[1]!Table1[[#This Row],[Stock Awal]]+[1]!Table1[[#This Row],[Stok Masuk]]-[1]!Table1[[#This Row],[Stok Keluar]]</f>
        <v>5</v>
      </c>
    </row>
    <row r="150" spans="1:9">
      <c r="A150" s="23" t="s">
        <v>320</v>
      </c>
      <c r="B150" s="23" t="s">
        <v>321</v>
      </c>
      <c r="C150" s="12">
        <v>30000</v>
      </c>
      <c r="D150" s="10" t="s">
        <v>292</v>
      </c>
      <c r="E150" s="10" t="s">
        <v>293</v>
      </c>
      <c r="F150" s="10"/>
      <c r="G150" s="15">
        <f>SUMIF([1]!Table3[Kode],[1]!Table1[[#This Row],[Kode]],[1]!Table3[Qty])</f>
        <v>5</v>
      </c>
      <c r="H150" s="15">
        <f>SUMIF([1]!Table35[Kode],[1]!Table1[[#This Row],[Kode]],[1]!Table35[Qty])</f>
        <v>0</v>
      </c>
      <c r="I150" s="16">
        <f>[1]!Table1[[#This Row],[Stock Awal]]+[1]!Table1[[#This Row],[Stok Masuk]]-[1]!Table1[[#This Row],[Stok Keluar]]</f>
        <v>5</v>
      </c>
    </row>
    <row r="151" spans="1:9">
      <c r="A151" s="23" t="s">
        <v>322</v>
      </c>
      <c r="B151" s="23" t="s">
        <v>323</v>
      </c>
      <c r="C151" s="12">
        <v>30000</v>
      </c>
      <c r="D151" s="10" t="s">
        <v>292</v>
      </c>
      <c r="E151" s="10" t="s">
        <v>293</v>
      </c>
      <c r="F151" s="10"/>
      <c r="G151" s="15">
        <f>SUMIF([1]!Table3[Kode],[1]!Table1[[#This Row],[Kode]],[1]!Table3[Qty])</f>
        <v>5</v>
      </c>
      <c r="H151" s="15">
        <f>SUMIF([1]!Table35[Kode],[1]!Table1[[#This Row],[Kode]],[1]!Table35[Qty])</f>
        <v>4</v>
      </c>
      <c r="I151" s="16">
        <f>[1]!Table1[[#This Row],[Stock Awal]]+[1]!Table1[[#This Row],[Stok Masuk]]-[1]!Table1[[#This Row],[Stok Keluar]]</f>
        <v>1</v>
      </c>
    </row>
    <row r="152" spans="1:9">
      <c r="A152" s="23" t="s">
        <v>324</v>
      </c>
      <c r="B152" s="23" t="s">
        <v>325</v>
      </c>
      <c r="C152" s="12">
        <v>30000</v>
      </c>
      <c r="D152" s="10" t="s">
        <v>292</v>
      </c>
      <c r="E152" s="10" t="s">
        <v>293</v>
      </c>
      <c r="F152" s="10"/>
      <c r="G152" s="15">
        <f>SUMIF([1]!Table3[Kode],[1]!Table1[[#This Row],[Kode]],[1]!Table3[Qty])</f>
        <v>5</v>
      </c>
      <c r="H152" s="15">
        <f>SUMIF([1]!Table35[Kode],[1]!Table1[[#This Row],[Kode]],[1]!Table35[Qty])</f>
        <v>0</v>
      </c>
      <c r="I152" s="16">
        <f>[1]!Table1[[#This Row],[Stock Awal]]+[1]!Table1[[#This Row],[Stok Masuk]]-[1]!Table1[[#This Row],[Stok Keluar]]</f>
        <v>5</v>
      </c>
    </row>
    <row r="153" spans="1:9">
      <c r="A153" s="23" t="s">
        <v>326</v>
      </c>
      <c r="B153" s="23" t="s">
        <v>327</v>
      </c>
      <c r="C153" s="12">
        <v>25000</v>
      </c>
      <c r="D153" s="10" t="s">
        <v>304</v>
      </c>
      <c r="E153" s="10" t="s">
        <v>328</v>
      </c>
      <c r="F153" s="10"/>
      <c r="G153" s="15">
        <f>SUMIF([1]!Table3[Kode],[1]!Table1[[#This Row],[Kode]],[1]!Table3[Qty])</f>
        <v>3</v>
      </c>
      <c r="H153" s="15">
        <f>SUMIF([1]!Table35[Kode],[1]!Table1[[#This Row],[Kode]],[1]!Table35[Qty])</f>
        <v>1</v>
      </c>
      <c r="I153" s="16">
        <f>[1]!Table1[[#This Row],[Stock Awal]]+[1]!Table1[[#This Row],[Stok Masuk]]-[1]!Table1[[#This Row],[Stok Keluar]]</f>
        <v>2</v>
      </c>
    </row>
    <row r="154" spans="1:9">
      <c r="A154" s="23" t="s">
        <v>329</v>
      </c>
      <c r="B154" s="23" t="s">
        <v>330</v>
      </c>
      <c r="C154" s="12">
        <v>25000</v>
      </c>
      <c r="D154" s="10" t="s">
        <v>304</v>
      </c>
      <c r="E154" s="10" t="s">
        <v>328</v>
      </c>
      <c r="F154" s="10"/>
      <c r="G154" s="15">
        <f>SUMIF([1]!Table3[Kode],[1]!Table1[[#This Row],[Kode]],[1]!Table3[Qty])</f>
        <v>3</v>
      </c>
      <c r="H154" s="15">
        <f>SUMIF([1]!Table35[Kode],[1]!Table1[[#This Row],[Kode]],[1]!Table35[Qty])</f>
        <v>1</v>
      </c>
      <c r="I154" s="16">
        <f>[1]!Table1[[#This Row],[Stock Awal]]+[1]!Table1[[#This Row],[Stok Masuk]]-[1]!Table1[[#This Row],[Stok Keluar]]</f>
        <v>2</v>
      </c>
    </row>
    <row r="155" spans="1:9" ht="34">
      <c r="A155" s="3" t="s">
        <v>331</v>
      </c>
      <c r="B155" s="24" t="s">
        <v>332</v>
      </c>
      <c r="C155" s="12">
        <v>35000</v>
      </c>
      <c r="D155" s="10" t="s">
        <v>12</v>
      </c>
      <c r="E155" s="10" t="s">
        <v>13</v>
      </c>
      <c r="F155" s="10"/>
      <c r="G155" s="15">
        <f>SUMIF([1]!Table3[Kode],[1]!Table1[[#This Row],[Kode]],[1]!Table3[Qty])</f>
        <v>5</v>
      </c>
      <c r="H155" s="15">
        <f>SUMIF([1]!Table35[Kode],[1]!Table1[[#This Row],[Kode]],[1]!Table35[Qty])</f>
        <v>5</v>
      </c>
      <c r="I155" s="16">
        <f>[1]!Table1[[#This Row],[Stock Awal]]+[1]!Table1[[#This Row],[Stok Masuk]]-[1]!Table1[[#This Row],[Stok Keluar]]</f>
        <v>0</v>
      </c>
    </row>
    <row r="156" spans="1:9" ht="34">
      <c r="A156" s="3" t="s">
        <v>333</v>
      </c>
      <c r="B156" s="24" t="s">
        <v>334</v>
      </c>
      <c r="C156" s="12">
        <v>35000</v>
      </c>
      <c r="D156" s="10" t="s">
        <v>12</v>
      </c>
      <c r="E156" s="10" t="s">
        <v>13</v>
      </c>
      <c r="F156" s="10"/>
      <c r="G156" s="15">
        <f>SUMIF([1]!Table3[Kode],[1]!Table1[[#This Row],[Kode]],[1]!Table3[Qty])</f>
        <v>5</v>
      </c>
      <c r="H156" s="15">
        <f>SUMIF([1]!Table35[Kode],[1]!Table1[[#This Row],[Kode]],[1]!Table35[Qty])</f>
        <v>0</v>
      </c>
      <c r="I156" s="16">
        <f>[1]!Table1[[#This Row],[Stock Awal]]+[1]!Table1[[#This Row],[Stok Masuk]]-[1]!Table1[[#This Row],[Stok Keluar]]</f>
        <v>5</v>
      </c>
    </row>
    <row r="157" spans="1:9" ht="34">
      <c r="A157" s="3" t="s">
        <v>335</v>
      </c>
      <c r="B157" s="24" t="s">
        <v>336</v>
      </c>
      <c r="C157" s="12">
        <v>35000</v>
      </c>
      <c r="D157" s="10" t="s">
        <v>12</v>
      </c>
      <c r="E157" s="10" t="s">
        <v>13</v>
      </c>
      <c r="F157" s="10"/>
      <c r="G157" s="15">
        <f>SUMIF([1]!Table3[Kode],[1]!Table1[[#This Row],[Kode]],[1]!Table3[Qty])</f>
        <v>5</v>
      </c>
      <c r="H157" s="15">
        <f>SUMIF([1]!Table35[Kode],[1]!Table1[[#This Row],[Kode]],[1]!Table35[Qty])</f>
        <v>0</v>
      </c>
      <c r="I157" s="16">
        <f>[1]!Table1[[#This Row],[Stock Awal]]+[1]!Table1[[#This Row],[Stok Masuk]]-[1]!Table1[[#This Row],[Stok Keluar]]</f>
        <v>5</v>
      </c>
    </row>
    <row r="158" spans="1:9" ht="17">
      <c r="A158" s="3" t="s">
        <v>337</v>
      </c>
      <c r="B158" s="24" t="s">
        <v>338</v>
      </c>
      <c r="C158" s="12">
        <v>35000</v>
      </c>
      <c r="D158" s="10" t="s">
        <v>12</v>
      </c>
      <c r="E158" s="10" t="s">
        <v>13</v>
      </c>
      <c r="F158" s="10"/>
      <c r="G158" s="15">
        <f>SUMIF([1]!Table3[Kode],[1]!Table1[[#This Row],[Kode]],[1]!Table3[Qty])</f>
        <v>5</v>
      </c>
      <c r="H158" s="15">
        <f>SUMIF([1]!Table35[Kode],[1]!Table1[[#This Row],[Kode]],[1]!Table35[Qty])</f>
        <v>0</v>
      </c>
      <c r="I158" s="16">
        <f>[1]!Table1[[#This Row],[Stock Awal]]+[1]!Table1[[#This Row],[Stok Masuk]]-[1]!Table1[[#This Row],[Stok Keluar]]</f>
        <v>5</v>
      </c>
    </row>
    <row r="159" spans="1:9" ht="34">
      <c r="A159" s="3" t="s">
        <v>339</v>
      </c>
      <c r="B159" s="24" t="s">
        <v>340</v>
      </c>
      <c r="C159" s="12">
        <v>35000</v>
      </c>
      <c r="D159" s="10" t="s">
        <v>12</v>
      </c>
      <c r="E159" s="10" t="s">
        <v>13</v>
      </c>
      <c r="F159" s="10"/>
      <c r="G159" s="15">
        <f>SUMIF([1]!Table3[Kode],[1]!Table1[[#This Row],[Kode]],[1]!Table3[Qty])</f>
        <v>5</v>
      </c>
      <c r="H159" s="15">
        <f>SUMIF([1]!Table35[Kode],[1]!Table1[[#This Row],[Kode]],[1]!Table35[Qty])</f>
        <v>0</v>
      </c>
      <c r="I159" s="16">
        <f>[1]!Table1[[#This Row],[Stock Awal]]+[1]!Table1[[#This Row],[Stok Masuk]]-[1]!Table1[[#This Row],[Stok Keluar]]</f>
        <v>5</v>
      </c>
    </row>
    <row r="160" spans="1:9" ht="17">
      <c r="A160" s="3" t="s">
        <v>341</v>
      </c>
      <c r="B160" s="24" t="s">
        <v>342</v>
      </c>
      <c r="C160" s="12">
        <v>35000</v>
      </c>
      <c r="D160" s="10" t="s">
        <v>12</v>
      </c>
      <c r="E160" s="10" t="s">
        <v>13</v>
      </c>
      <c r="F160" s="10"/>
      <c r="G160" s="15">
        <f>SUMIF([1]!Table3[Kode],[1]!Table1[[#This Row],[Kode]],[1]!Table3[Qty])</f>
        <v>5</v>
      </c>
      <c r="H160" s="15">
        <f>SUMIF([1]!Table35[Kode],[1]!Table1[[#This Row],[Kode]],[1]!Table35[Qty])</f>
        <v>2</v>
      </c>
      <c r="I160" s="16">
        <f>[1]!Table1[[#This Row],[Stock Awal]]+[1]!Table1[[#This Row],[Stok Masuk]]-[1]!Table1[[#This Row],[Stok Keluar]]</f>
        <v>3</v>
      </c>
    </row>
    <row r="161" spans="1:9" ht="34">
      <c r="A161" s="3" t="s">
        <v>343</v>
      </c>
      <c r="B161" s="24" t="s">
        <v>344</v>
      </c>
      <c r="C161" s="12">
        <v>35000</v>
      </c>
      <c r="D161" s="10" t="s">
        <v>12</v>
      </c>
      <c r="E161" s="10" t="s">
        <v>13</v>
      </c>
      <c r="F161" s="10"/>
      <c r="G161" s="15">
        <f>SUMIF([1]!Table3[Kode],[1]!Table1[[#This Row],[Kode]],[1]!Table3[Qty])</f>
        <v>5</v>
      </c>
      <c r="H161" s="15">
        <f>SUMIF([1]!Table35[Kode],[1]!Table1[[#This Row],[Kode]],[1]!Table35[Qty])</f>
        <v>3</v>
      </c>
      <c r="I161" s="16">
        <f>[1]!Table1[[#This Row],[Stock Awal]]+[1]!Table1[[#This Row],[Stok Masuk]]-[1]!Table1[[#This Row],[Stok Keluar]]</f>
        <v>2</v>
      </c>
    </row>
    <row r="162" spans="1:9" ht="17">
      <c r="A162" s="3" t="s">
        <v>345</v>
      </c>
      <c r="B162" s="24" t="s">
        <v>346</v>
      </c>
      <c r="C162" s="12">
        <v>25000</v>
      </c>
      <c r="D162" s="10" t="s">
        <v>96</v>
      </c>
      <c r="E162" s="10" t="s">
        <v>347</v>
      </c>
      <c r="F162" s="10"/>
      <c r="G162" s="15">
        <f>SUMIF([1]!Table3[Kode],[1]!Table1[[#This Row],[Kode]],[1]!Table3[Qty])</f>
        <v>5</v>
      </c>
      <c r="H162" s="15">
        <f>SUMIF([1]!Table35[Kode],[1]!Table1[[#This Row],[Kode]],[1]!Table35[Qty])</f>
        <v>5</v>
      </c>
      <c r="I162" s="16">
        <f>[1]!Table1[[#This Row],[Stock Awal]]+[1]!Table1[[#This Row],[Stok Masuk]]-[1]!Table1[[#This Row],[Stok Keluar]]</f>
        <v>0</v>
      </c>
    </row>
    <row r="163" spans="1:9" ht="17">
      <c r="A163" s="3" t="s">
        <v>348</v>
      </c>
      <c r="B163" s="24" t="s">
        <v>349</v>
      </c>
      <c r="C163" s="12">
        <v>25000</v>
      </c>
      <c r="D163" s="10" t="s">
        <v>96</v>
      </c>
      <c r="E163" s="10" t="s">
        <v>347</v>
      </c>
      <c r="F163" s="10"/>
      <c r="G163" s="15">
        <f>SUMIF([1]!Table3[Kode],[1]!Table1[[#This Row],[Kode]],[1]!Table3[Qty])</f>
        <v>5</v>
      </c>
      <c r="H163" s="15">
        <f>SUMIF([1]!Table35[Kode],[1]!Table1[[#This Row],[Kode]],[1]!Table35[Qty])</f>
        <v>5</v>
      </c>
      <c r="I163" s="16">
        <f>[1]!Table1[[#This Row],[Stock Awal]]+[1]!Table1[[#This Row],[Stok Masuk]]-[1]!Table1[[#This Row],[Stok Keluar]]</f>
        <v>0</v>
      </c>
    </row>
    <row r="164" spans="1:9" ht="17">
      <c r="A164" s="3" t="s">
        <v>350</v>
      </c>
      <c r="B164" s="24" t="s">
        <v>351</v>
      </c>
      <c r="C164" s="12">
        <v>28000</v>
      </c>
      <c r="D164" s="10" t="s">
        <v>12</v>
      </c>
      <c r="E164" s="10" t="s">
        <v>13</v>
      </c>
      <c r="F164" s="10"/>
      <c r="G164" s="15">
        <f>SUMIF([1]!Table3[Kode],[1]!Table1[[#This Row],[Kode]],[1]!Table3[Qty])</f>
        <v>5</v>
      </c>
      <c r="H164" s="15">
        <f>SUMIF([1]!Table35[Kode],[1]!Table1[[#This Row],[Kode]],[1]!Table35[Qty])</f>
        <v>1</v>
      </c>
      <c r="I164" s="16">
        <f>[1]!Table1[[#This Row],[Stock Awal]]+[1]!Table1[[#This Row],[Stok Masuk]]-[1]!Table1[[#This Row],[Stok Keluar]]</f>
        <v>4</v>
      </c>
    </row>
    <row r="165" spans="1:9" ht="17">
      <c r="A165" s="3" t="s">
        <v>352</v>
      </c>
      <c r="B165" s="24" t="s">
        <v>353</v>
      </c>
      <c r="C165" s="12">
        <v>38000</v>
      </c>
      <c r="D165" s="10" t="s">
        <v>12</v>
      </c>
      <c r="E165" s="10" t="s">
        <v>13</v>
      </c>
      <c r="F165" s="10"/>
      <c r="G165" s="15">
        <f>SUMIF([1]!Table3[Kode],[1]!Table1[[#This Row],[Kode]],[1]!Table3[Qty])</f>
        <v>5</v>
      </c>
      <c r="H165" s="15">
        <f>SUMIF([1]!Table35[Kode],[1]!Table1[[#This Row],[Kode]],[1]!Table35[Qty])</f>
        <v>1</v>
      </c>
      <c r="I165" s="16">
        <f>[1]!Table1[[#This Row],[Stock Awal]]+[1]!Table1[[#This Row],[Stok Masuk]]-[1]!Table1[[#This Row],[Stok Keluar]]</f>
        <v>4</v>
      </c>
    </row>
    <row r="166" spans="1:9" ht="17">
      <c r="A166" s="3" t="s">
        <v>354</v>
      </c>
      <c r="B166" s="24" t="s">
        <v>355</v>
      </c>
      <c r="C166" s="12">
        <v>38000</v>
      </c>
      <c r="D166" s="10" t="s">
        <v>12</v>
      </c>
      <c r="E166" s="10" t="s">
        <v>13</v>
      </c>
      <c r="F166" s="10"/>
      <c r="G166" s="15">
        <f>SUMIF([1]!Table3[Kode],[1]!Table1[[#This Row],[Kode]],[1]!Table3[Qty])</f>
        <v>5</v>
      </c>
      <c r="H166" s="15">
        <f>SUMIF([1]!Table35[Kode],[1]!Table1[[#This Row],[Kode]],[1]!Table35[Qty])</f>
        <v>2</v>
      </c>
      <c r="I166" s="16">
        <f>[1]!Table1[[#This Row],[Stock Awal]]+[1]!Table1[[#This Row],[Stok Masuk]]-[1]!Table1[[#This Row],[Stok Keluar]]</f>
        <v>3</v>
      </c>
    </row>
    <row r="167" spans="1:9" ht="17">
      <c r="A167" s="3" t="s">
        <v>356</v>
      </c>
      <c r="B167" s="24" t="s">
        <v>357</v>
      </c>
      <c r="C167" s="12">
        <v>38000</v>
      </c>
      <c r="D167" s="10" t="s">
        <v>12</v>
      </c>
      <c r="E167" s="10" t="s">
        <v>13</v>
      </c>
      <c r="F167" s="10"/>
      <c r="G167" s="15">
        <f>SUMIF([1]!Table3[Kode],[1]!Table1[[#This Row],[Kode]],[1]!Table3[Qty])</f>
        <v>5</v>
      </c>
      <c r="H167" s="15">
        <f>SUMIF([1]!Table35[Kode],[1]!Table1[[#This Row],[Kode]],[1]!Table35[Qty])</f>
        <v>0</v>
      </c>
      <c r="I167" s="16">
        <f>[1]!Table1[[#This Row],[Stock Awal]]+[1]!Table1[[#This Row],[Stok Masuk]]-[1]!Table1[[#This Row],[Stok Keluar]]</f>
        <v>5</v>
      </c>
    </row>
    <row r="168" spans="1:9" ht="17">
      <c r="A168" s="3" t="s">
        <v>358</v>
      </c>
      <c r="B168" s="24" t="s">
        <v>359</v>
      </c>
      <c r="C168" s="12">
        <v>38000</v>
      </c>
      <c r="D168" s="10" t="s">
        <v>12</v>
      </c>
      <c r="E168" s="10" t="s">
        <v>13</v>
      </c>
      <c r="F168" s="10"/>
      <c r="G168" s="15">
        <f>SUMIF([1]!Table3[Kode],[1]!Table1[[#This Row],[Kode]],[1]!Table3[Qty])</f>
        <v>5</v>
      </c>
      <c r="H168" s="15">
        <f>SUMIF([1]!Table35[Kode],[1]!Table1[[#This Row],[Kode]],[1]!Table35[Qty])</f>
        <v>1</v>
      </c>
      <c r="I168" s="16">
        <f>[1]!Table1[[#This Row],[Stock Awal]]+[1]!Table1[[#This Row],[Stok Masuk]]-[1]!Table1[[#This Row],[Stok Keluar]]</f>
        <v>4</v>
      </c>
    </row>
    <row r="169" spans="1:9" ht="34">
      <c r="A169" s="3" t="s">
        <v>360</v>
      </c>
      <c r="B169" s="24" t="s">
        <v>361</v>
      </c>
      <c r="C169" s="12">
        <v>27000</v>
      </c>
      <c r="D169" s="10" t="s">
        <v>12</v>
      </c>
      <c r="E169" s="10" t="s">
        <v>13</v>
      </c>
      <c r="F169" s="10"/>
      <c r="G169" s="15">
        <f>SUMIF([1]!Table3[Kode],[1]!Table1[[#This Row],[Kode]],[1]!Table3[Qty])</f>
        <v>5</v>
      </c>
      <c r="H169" s="15">
        <f>SUMIF([1]!Table35[Kode],[1]!Table1[[#This Row],[Kode]],[1]!Table35[Qty])</f>
        <v>3</v>
      </c>
      <c r="I169" s="16">
        <f>[1]!Table1[[#This Row],[Stock Awal]]+[1]!Table1[[#This Row],[Stok Masuk]]-[1]!Table1[[#This Row],[Stok Keluar]]</f>
        <v>2</v>
      </c>
    </row>
    <row r="170" spans="1:9" ht="34">
      <c r="A170" s="3" t="s">
        <v>362</v>
      </c>
      <c r="B170" s="24" t="s">
        <v>363</v>
      </c>
      <c r="C170" s="12">
        <v>27000</v>
      </c>
      <c r="D170" s="10" t="s">
        <v>12</v>
      </c>
      <c r="E170" s="10" t="s">
        <v>13</v>
      </c>
      <c r="F170" s="10"/>
      <c r="G170" s="15">
        <f>SUMIF([1]!Table3[Kode],[1]!Table1[[#This Row],[Kode]],[1]!Table3[Qty])</f>
        <v>3</v>
      </c>
      <c r="H170" s="15">
        <f>SUMIF([1]!Table35[Kode],[1]!Table1[[#This Row],[Kode]],[1]!Table35[Qty])</f>
        <v>2</v>
      </c>
      <c r="I170" s="16">
        <f>[1]!Table1[[#This Row],[Stock Awal]]+[1]!Table1[[#This Row],[Stok Masuk]]-[1]!Table1[[#This Row],[Stok Keluar]]</f>
        <v>1</v>
      </c>
    </row>
    <row r="171" spans="1:9" ht="17">
      <c r="A171" s="3" t="s">
        <v>364</v>
      </c>
      <c r="B171" s="24" t="s">
        <v>365</v>
      </c>
      <c r="C171" s="12">
        <v>32000</v>
      </c>
      <c r="D171" s="10" t="s">
        <v>12</v>
      </c>
      <c r="E171" s="10" t="s">
        <v>13</v>
      </c>
      <c r="F171" s="10"/>
      <c r="G171" s="15">
        <f>SUMIF([1]!Table3[Kode],[1]!Table1[[#This Row],[Kode]],[1]!Table3[Qty])</f>
        <v>5</v>
      </c>
      <c r="H171" s="15">
        <f>SUMIF([1]!Table35[Kode],[1]!Table1[[#This Row],[Kode]],[1]!Table35[Qty])</f>
        <v>1</v>
      </c>
      <c r="I171" s="16">
        <f>[1]!Table1[[#This Row],[Stock Awal]]+[1]!Table1[[#This Row],[Stok Masuk]]-[1]!Table1[[#This Row],[Stok Keluar]]</f>
        <v>4</v>
      </c>
    </row>
    <row r="172" spans="1:9" ht="17">
      <c r="A172" s="3" t="s">
        <v>366</v>
      </c>
      <c r="B172" s="24" t="s">
        <v>367</v>
      </c>
      <c r="C172" s="12">
        <v>32000</v>
      </c>
      <c r="D172" s="10" t="s">
        <v>12</v>
      </c>
      <c r="E172" s="10" t="s">
        <v>13</v>
      </c>
      <c r="F172" s="10"/>
      <c r="G172" s="15">
        <f>SUMIF([1]!Table3[Kode],[1]!Table1[[#This Row],[Kode]],[1]!Table3[Qty])</f>
        <v>5</v>
      </c>
      <c r="H172" s="15">
        <f>SUMIF([1]!Table35[Kode],[1]!Table1[[#This Row],[Kode]],[1]!Table35[Qty])</f>
        <v>1</v>
      </c>
      <c r="I172" s="16">
        <f>[1]!Table1[[#This Row],[Stock Awal]]+[1]!Table1[[#This Row],[Stok Masuk]]-[1]!Table1[[#This Row],[Stok Keluar]]</f>
        <v>4</v>
      </c>
    </row>
    <row r="173" spans="1:9" ht="17">
      <c r="A173" s="3" t="s">
        <v>368</v>
      </c>
      <c r="B173" s="24" t="s">
        <v>369</v>
      </c>
      <c r="C173" s="12">
        <v>32000</v>
      </c>
      <c r="D173" s="10" t="s">
        <v>12</v>
      </c>
      <c r="E173" s="10" t="s">
        <v>13</v>
      </c>
      <c r="F173" s="10"/>
      <c r="G173" s="15">
        <f>SUMIF([1]!Table3[Kode],[1]!Table1[[#This Row],[Kode]],[1]!Table3[Qty])</f>
        <v>5</v>
      </c>
      <c r="H173" s="15">
        <f>SUMIF([1]!Table35[Kode],[1]!Table1[[#This Row],[Kode]],[1]!Table35[Qty])</f>
        <v>2</v>
      </c>
      <c r="I173" s="16">
        <f>[1]!Table1[[#This Row],[Stock Awal]]+[1]!Table1[[#This Row],[Stok Masuk]]-[1]!Table1[[#This Row],[Stok Keluar]]</f>
        <v>3</v>
      </c>
    </row>
    <row r="174" spans="1:9" ht="17">
      <c r="A174" s="3" t="s">
        <v>370</v>
      </c>
      <c r="B174" s="24" t="s">
        <v>371</v>
      </c>
      <c r="C174" s="12">
        <v>32000</v>
      </c>
      <c r="D174" s="10" t="s">
        <v>12</v>
      </c>
      <c r="E174" s="10" t="s">
        <v>13</v>
      </c>
      <c r="F174" s="10"/>
      <c r="G174" s="15">
        <f>SUMIF([1]!Table3[Kode],[1]!Table1[[#This Row],[Kode]],[1]!Table3[Qty])</f>
        <v>5</v>
      </c>
      <c r="H174" s="15">
        <f>SUMIF([1]!Table35[Kode],[1]!Table1[[#This Row],[Kode]],[1]!Table35[Qty])</f>
        <v>1</v>
      </c>
      <c r="I174" s="16">
        <f>[1]!Table1[[#This Row],[Stock Awal]]+[1]!Table1[[#This Row],[Stok Masuk]]-[1]!Table1[[#This Row],[Stok Keluar]]</f>
        <v>4</v>
      </c>
    </row>
    <row r="175" spans="1:9" ht="17">
      <c r="A175" s="3" t="s">
        <v>372</v>
      </c>
      <c r="B175" s="24" t="s">
        <v>373</v>
      </c>
      <c r="C175" s="12">
        <v>32000</v>
      </c>
      <c r="D175" s="10" t="s">
        <v>12</v>
      </c>
      <c r="E175" s="10" t="s">
        <v>13</v>
      </c>
      <c r="F175" s="10"/>
      <c r="G175" s="15">
        <f>SUMIF([1]!Table3[Kode],[1]!Table1[[#This Row],[Kode]],[1]!Table3[Qty])</f>
        <v>5</v>
      </c>
      <c r="H175" s="15">
        <f>SUMIF([1]!Table35[Kode],[1]!Table1[[#This Row],[Kode]],[1]!Table35[Qty])</f>
        <v>0</v>
      </c>
      <c r="I175" s="16">
        <f>[1]!Table1[[#This Row],[Stock Awal]]+[1]!Table1[[#This Row],[Stok Masuk]]-[1]!Table1[[#This Row],[Stok Keluar]]</f>
        <v>5</v>
      </c>
    </row>
    <row r="176" spans="1:9" ht="17">
      <c r="A176" s="3" t="s">
        <v>374</v>
      </c>
      <c r="B176" s="24" t="s">
        <v>375</v>
      </c>
      <c r="C176" s="12">
        <v>32000</v>
      </c>
      <c r="D176" s="10" t="s">
        <v>12</v>
      </c>
      <c r="E176" s="10" t="s">
        <v>13</v>
      </c>
      <c r="F176" s="10"/>
      <c r="G176" s="15">
        <f>SUMIF([1]!Table3[Kode],[1]!Table1[[#This Row],[Kode]],[1]!Table3[Qty])</f>
        <v>5</v>
      </c>
      <c r="H176" s="15">
        <f>SUMIF([1]!Table35[Kode],[1]!Table1[[#This Row],[Kode]],[1]!Table35[Qty])</f>
        <v>2</v>
      </c>
      <c r="I176" s="16">
        <f>[1]!Table1[[#This Row],[Stock Awal]]+[1]!Table1[[#This Row],[Stok Masuk]]-[1]!Table1[[#This Row],[Stok Keluar]]</f>
        <v>3</v>
      </c>
    </row>
    <row r="177" spans="1:9" ht="17">
      <c r="A177" s="3" t="s">
        <v>376</v>
      </c>
      <c r="B177" s="24" t="s">
        <v>377</v>
      </c>
      <c r="C177" s="12">
        <v>32000</v>
      </c>
      <c r="D177" s="10" t="s">
        <v>12</v>
      </c>
      <c r="E177" s="10" t="s">
        <v>13</v>
      </c>
      <c r="F177" s="10"/>
      <c r="G177" s="15">
        <f>SUMIF([1]!Table3[Kode],[1]!Table1[[#This Row],[Kode]],[1]!Table3[Qty])</f>
        <v>5</v>
      </c>
      <c r="H177" s="15">
        <f>SUMIF([1]!Table35[Kode],[1]!Table1[[#This Row],[Kode]],[1]!Table35[Qty])</f>
        <v>2</v>
      </c>
      <c r="I177" s="16">
        <f>[1]!Table1[[#This Row],[Stock Awal]]+[1]!Table1[[#This Row],[Stok Masuk]]-[1]!Table1[[#This Row],[Stok Keluar]]</f>
        <v>3</v>
      </c>
    </row>
    <row r="178" spans="1:9" ht="17">
      <c r="A178" s="3" t="s">
        <v>378</v>
      </c>
      <c r="B178" s="24" t="s">
        <v>379</v>
      </c>
      <c r="C178" s="12">
        <v>32000</v>
      </c>
      <c r="D178" s="10" t="s">
        <v>12</v>
      </c>
      <c r="E178" s="10" t="s">
        <v>13</v>
      </c>
      <c r="F178" s="10"/>
      <c r="G178" s="15">
        <f>SUMIF([1]!Table3[Kode],[1]!Table1[[#This Row],[Kode]],[1]!Table3[Qty])</f>
        <v>5</v>
      </c>
      <c r="H178" s="15">
        <f>SUMIF([1]!Table35[Kode],[1]!Table1[[#This Row],[Kode]],[1]!Table35[Qty])</f>
        <v>0</v>
      </c>
      <c r="I178" s="16">
        <f>[1]!Table1[[#This Row],[Stock Awal]]+[1]!Table1[[#This Row],[Stok Masuk]]-[1]!Table1[[#This Row],[Stok Keluar]]</f>
        <v>5</v>
      </c>
    </row>
    <row r="179" spans="1:9" ht="17">
      <c r="A179" s="10" t="s">
        <v>380</v>
      </c>
      <c r="B179" s="24" t="s">
        <v>381</v>
      </c>
      <c r="C179" s="12">
        <v>35000</v>
      </c>
      <c r="D179" s="10" t="s">
        <v>12</v>
      </c>
      <c r="E179" s="10" t="s">
        <v>13</v>
      </c>
      <c r="F179" s="10"/>
      <c r="G179" s="15">
        <f>SUMIF([1]!Table3[Kode],[1]!Table1[[#This Row],[Kode]],[1]!Table3[Qty])</f>
        <v>5</v>
      </c>
      <c r="H179" s="15">
        <f>SUMIF([1]!Table35[Kode],[1]!Table1[[#This Row],[Kode]],[1]!Table35[Qty])</f>
        <v>0</v>
      </c>
      <c r="I179" s="16">
        <f>[1]!Table1[[#This Row],[Stock Awal]]+[1]!Table1[[#This Row],[Stok Masuk]]-[1]!Table1[[#This Row],[Stok Keluar]]</f>
        <v>5</v>
      </c>
    </row>
    <row r="180" spans="1:9" ht="17">
      <c r="A180" s="10" t="s">
        <v>382</v>
      </c>
      <c r="B180" s="24" t="s">
        <v>383</v>
      </c>
      <c r="C180" s="12">
        <v>35000</v>
      </c>
      <c r="D180" s="10" t="s">
        <v>12</v>
      </c>
      <c r="E180" s="10" t="s">
        <v>13</v>
      </c>
      <c r="F180" s="10"/>
      <c r="G180" s="15">
        <f>SUMIF([1]!Table3[Kode],[1]!Table1[[#This Row],[Kode]],[1]!Table3[Qty])</f>
        <v>5</v>
      </c>
      <c r="H180" s="15">
        <f>SUMIF([1]!Table35[Kode],[1]!Table1[[#This Row],[Kode]],[1]!Table35[Qty])</f>
        <v>0</v>
      </c>
      <c r="I180" s="16">
        <f>[1]!Table1[[#This Row],[Stock Awal]]+[1]!Table1[[#This Row],[Stok Masuk]]-[1]!Table1[[#This Row],[Stok Keluar]]</f>
        <v>5</v>
      </c>
    </row>
    <row r="181" spans="1:9" ht="17">
      <c r="A181" s="10" t="s">
        <v>384</v>
      </c>
      <c r="B181" s="24" t="s">
        <v>385</v>
      </c>
      <c r="C181" s="12">
        <v>35000</v>
      </c>
      <c r="D181" s="10" t="s">
        <v>12</v>
      </c>
      <c r="E181" s="10" t="s">
        <v>13</v>
      </c>
      <c r="F181" s="10"/>
      <c r="G181" s="15">
        <f>SUMIF([1]!Table3[Kode],[1]!Table1[[#This Row],[Kode]],[1]!Table3[Qty])</f>
        <v>5</v>
      </c>
      <c r="H181" s="15">
        <f>SUMIF([1]!Table35[Kode],[1]!Table1[[#This Row],[Kode]],[1]!Table35[Qty])</f>
        <v>1</v>
      </c>
      <c r="I181" s="16">
        <f>[1]!Table1[[#This Row],[Stock Awal]]+[1]!Table1[[#This Row],[Stok Masuk]]-[1]!Table1[[#This Row],[Stok Keluar]]</f>
        <v>4</v>
      </c>
    </row>
    <row r="182" spans="1:9" ht="17">
      <c r="A182" s="10" t="s">
        <v>386</v>
      </c>
      <c r="B182" s="24" t="s">
        <v>387</v>
      </c>
      <c r="C182" s="12">
        <v>35000</v>
      </c>
      <c r="D182" s="10" t="s">
        <v>12</v>
      </c>
      <c r="E182" s="10" t="s">
        <v>13</v>
      </c>
      <c r="F182" s="10"/>
      <c r="G182" s="15">
        <f>SUMIF([1]!Table3[Kode],[1]!Table1[[#This Row],[Kode]],[1]!Table3[Qty])</f>
        <v>5</v>
      </c>
      <c r="H182" s="15">
        <f>SUMIF([1]!Table35[Kode],[1]!Table1[[#This Row],[Kode]],[1]!Table35[Qty])</f>
        <v>3</v>
      </c>
      <c r="I182" s="16">
        <f>[1]!Table1[[#This Row],[Stock Awal]]+[1]!Table1[[#This Row],[Stok Masuk]]-[1]!Table1[[#This Row],[Stok Keluar]]</f>
        <v>2</v>
      </c>
    </row>
    <row r="183" spans="1:9" ht="34">
      <c r="A183" s="10" t="s">
        <v>388</v>
      </c>
      <c r="B183" s="24" t="s">
        <v>389</v>
      </c>
      <c r="C183" s="12">
        <v>32000</v>
      </c>
      <c r="D183" s="10" t="s">
        <v>96</v>
      </c>
      <c r="E183" s="10" t="s">
        <v>390</v>
      </c>
      <c r="F183" s="10"/>
      <c r="G183" s="15">
        <f>SUMIF([1]!Table3[Kode],[1]!Table1[[#This Row],[Kode]],[1]!Table3[Qty])</f>
        <v>5</v>
      </c>
      <c r="H183" s="15">
        <f>SUMIF([1]!Table35[Kode],[1]!Table1[[#This Row],[Kode]],[1]!Table35[Qty])</f>
        <v>3</v>
      </c>
      <c r="I183" s="16">
        <f>[1]!Table1[[#This Row],[Stock Awal]]+[1]!Table1[[#This Row],[Stok Masuk]]-[1]!Table1[[#This Row],[Stok Keluar]]</f>
        <v>2</v>
      </c>
    </row>
    <row r="184" spans="1:9" ht="34">
      <c r="A184" s="10" t="s">
        <v>391</v>
      </c>
      <c r="B184" s="24" t="s">
        <v>392</v>
      </c>
      <c r="C184" s="12">
        <v>32000</v>
      </c>
      <c r="D184" s="10" t="s">
        <v>96</v>
      </c>
      <c r="E184" s="10" t="s">
        <v>390</v>
      </c>
      <c r="F184" s="10"/>
      <c r="G184" s="15">
        <f>SUMIF([1]!Table3[Kode],[1]!Table1[[#This Row],[Kode]],[1]!Table3[Qty])</f>
        <v>5</v>
      </c>
      <c r="H184" s="15">
        <f>SUMIF([1]!Table35[Kode],[1]!Table1[[#This Row],[Kode]],[1]!Table35[Qty])</f>
        <v>1</v>
      </c>
      <c r="I184" s="16">
        <f>[1]!Table1[[#This Row],[Stock Awal]]+[1]!Table1[[#This Row],[Stok Masuk]]-[1]!Table1[[#This Row],[Stok Keluar]]</f>
        <v>4</v>
      </c>
    </row>
    <row r="185" spans="1:9" ht="34">
      <c r="A185" s="10" t="s">
        <v>393</v>
      </c>
      <c r="B185" s="24" t="s">
        <v>394</v>
      </c>
      <c r="C185" s="12">
        <v>32000</v>
      </c>
      <c r="D185" s="10" t="s">
        <v>96</v>
      </c>
      <c r="E185" s="10" t="s">
        <v>390</v>
      </c>
      <c r="F185" s="10"/>
      <c r="G185" s="15">
        <f>SUMIF([1]!Table3[Kode],[1]!Table1[[#This Row],[Kode]],[1]!Table3[Qty])</f>
        <v>5</v>
      </c>
      <c r="H185" s="15">
        <f>SUMIF([1]!Table35[Kode],[1]!Table1[[#This Row],[Kode]],[1]!Table35[Qty])</f>
        <v>3</v>
      </c>
      <c r="I185" s="16">
        <f>[1]!Table1[[#This Row],[Stock Awal]]+[1]!Table1[[#This Row],[Stok Masuk]]-[1]!Table1[[#This Row],[Stok Keluar]]</f>
        <v>2</v>
      </c>
    </row>
    <row r="186" spans="1:9" ht="34">
      <c r="A186" s="10" t="s">
        <v>395</v>
      </c>
      <c r="B186" s="24" t="s">
        <v>396</v>
      </c>
      <c r="C186" s="12">
        <v>32000</v>
      </c>
      <c r="D186" s="10" t="s">
        <v>96</v>
      </c>
      <c r="E186" s="10" t="s">
        <v>390</v>
      </c>
      <c r="F186" s="10"/>
      <c r="G186" s="15">
        <f>SUMIF([1]!Table3[Kode],[1]!Table1[[#This Row],[Kode]],[1]!Table3[Qty])</f>
        <v>5</v>
      </c>
      <c r="H186" s="15">
        <f>SUMIF([1]!Table35[Kode],[1]!Table1[[#This Row],[Kode]],[1]!Table35[Qty])</f>
        <v>5</v>
      </c>
      <c r="I186" s="16">
        <f>[1]!Table1[[#This Row],[Stock Awal]]+[1]!Table1[[#This Row],[Stok Masuk]]-[1]!Table1[[#This Row],[Stok Keluar]]</f>
        <v>0</v>
      </c>
    </row>
    <row r="187" spans="1:9" ht="17">
      <c r="A187" s="10" t="s">
        <v>397</v>
      </c>
      <c r="B187" s="24" t="s">
        <v>398</v>
      </c>
      <c r="C187" s="12">
        <v>32000</v>
      </c>
      <c r="D187" s="10" t="s">
        <v>12</v>
      </c>
      <c r="E187" s="10" t="s">
        <v>13</v>
      </c>
      <c r="F187" s="10"/>
      <c r="G187" s="15">
        <f>SUMIF([1]!Table3[Kode],[1]!Table1[[#This Row],[Kode]],[1]!Table3[Qty])</f>
        <v>10</v>
      </c>
      <c r="H187" s="15">
        <f>SUMIF([1]!Table35[Kode],[1]!Table1[[#This Row],[Kode]],[1]!Table35[Qty])</f>
        <v>5</v>
      </c>
      <c r="I187" s="16">
        <f>[1]!Table1[[#This Row],[Stock Awal]]+[1]!Table1[[#This Row],[Stok Masuk]]-[1]!Table1[[#This Row],[Stok Keluar]]</f>
        <v>5</v>
      </c>
    </row>
    <row r="188" spans="1:9" ht="17">
      <c r="A188" s="10" t="s">
        <v>399</v>
      </c>
      <c r="B188" s="24" t="s">
        <v>400</v>
      </c>
      <c r="C188" s="12">
        <v>32000</v>
      </c>
      <c r="D188" s="10" t="s">
        <v>12</v>
      </c>
      <c r="E188" s="10" t="s">
        <v>13</v>
      </c>
      <c r="F188" s="10"/>
      <c r="G188" s="15">
        <f>SUMIF([1]!Table3[Kode],[1]!Table1[[#This Row],[Kode]],[1]!Table3[Qty])</f>
        <v>11</v>
      </c>
      <c r="H188" s="15">
        <f>SUMIF([1]!Table35[Kode],[1]!Table1[[#This Row],[Kode]],[1]!Table35[Qty])</f>
        <v>7</v>
      </c>
      <c r="I188" s="16">
        <f>[1]!Table1[[#This Row],[Stock Awal]]+[1]!Table1[[#This Row],[Stok Masuk]]-[1]!Table1[[#This Row],[Stok Keluar]]</f>
        <v>4</v>
      </c>
    </row>
    <row r="189" spans="1:9" ht="17">
      <c r="A189" s="10" t="s">
        <v>401</v>
      </c>
      <c r="B189" s="24" t="s">
        <v>402</v>
      </c>
      <c r="C189" s="12">
        <v>32000</v>
      </c>
      <c r="D189" s="10" t="s">
        <v>12</v>
      </c>
      <c r="E189" s="10" t="s">
        <v>13</v>
      </c>
      <c r="F189" s="10"/>
      <c r="G189" s="15">
        <f>SUMIF([1]!Table3[Kode],[1]!Table1[[#This Row],[Kode]],[1]!Table3[Qty])</f>
        <v>8</v>
      </c>
      <c r="H189" s="15">
        <f>SUMIF([1]!Table35[Kode],[1]!Table1[[#This Row],[Kode]],[1]!Table35[Qty])</f>
        <v>6</v>
      </c>
      <c r="I189" s="16">
        <f>[1]!Table1[[#This Row],[Stock Awal]]+[1]!Table1[[#This Row],[Stok Masuk]]-[1]!Table1[[#This Row],[Stok Keluar]]</f>
        <v>2</v>
      </c>
    </row>
    <row r="190" spans="1:9" ht="17">
      <c r="A190" s="10" t="s">
        <v>403</v>
      </c>
      <c r="B190" s="24" t="s">
        <v>404</v>
      </c>
      <c r="C190" s="12">
        <v>32000</v>
      </c>
      <c r="D190" s="10" t="s">
        <v>12</v>
      </c>
      <c r="E190" s="10" t="s">
        <v>13</v>
      </c>
      <c r="F190" s="10"/>
      <c r="G190" s="15">
        <f>SUMIF([1]!Table3[Kode],[1]!Table1[[#This Row],[Kode]],[1]!Table3[Qty])</f>
        <v>8</v>
      </c>
      <c r="H190" s="15">
        <f>SUMIF([1]!Table35[Kode],[1]!Table1[[#This Row],[Kode]],[1]!Table35[Qty])</f>
        <v>4</v>
      </c>
      <c r="I190" s="16">
        <f>[1]!Table1[[#This Row],[Stock Awal]]+[1]!Table1[[#This Row],[Stok Masuk]]-[1]!Table1[[#This Row],[Stok Keluar]]</f>
        <v>4</v>
      </c>
    </row>
    <row r="191" spans="1:9" ht="17">
      <c r="A191" s="10" t="s">
        <v>405</v>
      </c>
      <c r="B191" s="24" t="s">
        <v>406</v>
      </c>
      <c r="C191" s="12">
        <v>32000</v>
      </c>
      <c r="D191" s="10" t="s">
        <v>12</v>
      </c>
      <c r="E191" s="10" t="s">
        <v>13</v>
      </c>
      <c r="F191" s="10"/>
      <c r="G191" s="15">
        <f>SUMIF([1]!Table3[Kode],[1]!Table1[[#This Row],[Kode]],[1]!Table3[Qty])</f>
        <v>5</v>
      </c>
      <c r="H191" s="15">
        <f>SUMIF([1]!Table35[Kode],[1]!Table1[[#This Row],[Kode]],[1]!Table35[Qty])</f>
        <v>3</v>
      </c>
      <c r="I191" s="16">
        <f>[1]!Table1[[#This Row],[Stock Awal]]+[1]!Table1[[#This Row],[Stok Masuk]]-[1]!Table1[[#This Row],[Stok Keluar]]</f>
        <v>2</v>
      </c>
    </row>
    <row r="192" spans="1:9" ht="34">
      <c r="A192" s="10" t="s">
        <v>407</v>
      </c>
      <c r="B192" s="24" t="s">
        <v>408</v>
      </c>
      <c r="C192" s="12">
        <v>38000</v>
      </c>
      <c r="D192" s="10" t="s">
        <v>12</v>
      </c>
      <c r="E192" s="10" t="s">
        <v>13</v>
      </c>
      <c r="F192" s="10"/>
      <c r="G192" s="15">
        <f>SUMIF([1]!Table3[Kode],[1]!Table1[[#This Row],[Kode]],[1]!Table3[Qty])</f>
        <v>5</v>
      </c>
      <c r="H192" s="15">
        <f>SUMIF([1]!Table35[Kode],[1]!Table1[[#This Row],[Kode]],[1]!Table35[Qty])</f>
        <v>1</v>
      </c>
      <c r="I192" s="16">
        <f>[1]!Table1[[#This Row],[Stock Awal]]+[1]!Table1[[#This Row],[Stok Masuk]]-[1]!Table1[[#This Row],[Stok Keluar]]</f>
        <v>4</v>
      </c>
    </row>
    <row r="193" spans="1:9" ht="34">
      <c r="A193" s="10" t="s">
        <v>409</v>
      </c>
      <c r="B193" s="24" t="s">
        <v>410</v>
      </c>
      <c r="C193" s="12">
        <v>38000</v>
      </c>
      <c r="D193" s="10" t="s">
        <v>12</v>
      </c>
      <c r="E193" s="10" t="s">
        <v>13</v>
      </c>
      <c r="F193" s="10"/>
      <c r="G193" s="15">
        <f>SUMIF([1]!Table3[Kode],[1]!Table1[[#This Row],[Kode]],[1]!Table3[Qty])</f>
        <v>5</v>
      </c>
      <c r="H193" s="15">
        <f>SUMIF([1]!Table35[Kode],[1]!Table1[[#This Row],[Kode]],[1]!Table35[Qty])</f>
        <v>0</v>
      </c>
      <c r="I193" s="16">
        <f>[1]!Table1[[#This Row],[Stock Awal]]+[1]!Table1[[#This Row],[Stok Masuk]]-[1]!Table1[[#This Row],[Stok Keluar]]</f>
        <v>5</v>
      </c>
    </row>
    <row r="194" spans="1:9" ht="34">
      <c r="A194" s="10" t="s">
        <v>411</v>
      </c>
      <c r="B194" s="24" t="s">
        <v>412</v>
      </c>
      <c r="C194" s="12">
        <v>38000</v>
      </c>
      <c r="D194" s="10" t="s">
        <v>12</v>
      </c>
      <c r="E194" s="10" t="s">
        <v>13</v>
      </c>
      <c r="F194" s="10"/>
      <c r="G194" s="15">
        <f>SUMIF([1]!Table3[Kode],[1]!Table1[[#This Row],[Kode]],[1]!Table3[Qty])</f>
        <v>5</v>
      </c>
      <c r="H194" s="15">
        <f>SUMIF([1]!Table35[Kode],[1]!Table1[[#This Row],[Kode]],[1]!Table35[Qty])</f>
        <v>0</v>
      </c>
      <c r="I194" s="16">
        <f>[1]!Table1[[#This Row],[Stock Awal]]+[1]!Table1[[#This Row],[Stok Masuk]]-[1]!Table1[[#This Row],[Stok Keluar]]</f>
        <v>5</v>
      </c>
    </row>
    <row r="195" spans="1:9" ht="34">
      <c r="A195" s="10" t="s">
        <v>413</v>
      </c>
      <c r="B195" s="24" t="s">
        <v>414</v>
      </c>
      <c r="C195" s="12">
        <v>38000</v>
      </c>
      <c r="D195" s="10" t="s">
        <v>12</v>
      </c>
      <c r="E195" s="10" t="s">
        <v>13</v>
      </c>
      <c r="F195" s="10"/>
      <c r="G195" s="15">
        <f>SUMIF([1]!Table3[Kode],[1]!Table1[[#This Row],[Kode]],[1]!Table3[Qty])</f>
        <v>5</v>
      </c>
      <c r="H195" s="15">
        <f>SUMIF([1]!Table35[Kode],[1]!Table1[[#This Row],[Kode]],[1]!Table35[Qty])</f>
        <v>4</v>
      </c>
      <c r="I195" s="16">
        <f>[1]!Table1[[#This Row],[Stock Awal]]+[1]!Table1[[#This Row],[Stok Masuk]]-[1]!Table1[[#This Row],[Stok Keluar]]</f>
        <v>1</v>
      </c>
    </row>
    <row r="196" spans="1:9" ht="34">
      <c r="A196" s="10" t="s">
        <v>415</v>
      </c>
      <c r="B196" s="24" t="s">
        <v>416</v>
      </c>
      <c r="C196" s="12">
        <v>38000</v>
      </c>
      <c r="D196" s="10" t="s">
        <v>12</v>
      </c>
      <c r="E196" s="10" t="s">
        <v>13</v>
      </c>
      <c r="F196" s="10"/>
      <c r="G196" s="15">
        <f>SUMIF([1]!Table3[Kode],[1]!Table1[[#This Row],[Kode]],[1]!Table3[Qty])</f>
        <v>5</v>
      </c>
      <c r="H196" s="15">
        <f>SUMIF([1]!Table35[Kode],[1]!Table1[[#This Row],[Kode]],[1]!Table35[Qty])</f>
        <v>0</v>
      </c>
      <c r="I196" s="16">
        <f>[1]!Table1[[#This Row],[Stock Awal]]+[1]!Table1[[#This Row],[Stok Masuk]]-[1]!Table1[[#This Row],[Stok Keluar]]</f>
        <v>5</v>
      </c>
    </row>
    <row r="197" spans="1:9" ht="34">
      <c r="A197" s="10" t="s">
        <v>417</v>
      </c>
      <c r="B197" s="24" t="s">
        <v>418</v>
      </c>
      <c r="C197" s="12">
        <v>38000</v>
      </c>
      <c r="D197" s="10" t="s">
        <v>12</v>
      </c>
      <c r="E197" s="10" t="s">
        <v>13</v>
      </c>
      <c r="F197" s="10"/>
      <c r="G197" s="15">
        <f>SUMIF([1]!Table3[Kode],[1]!Table1[[#This Row],[Kode]],[1]!Table3[Qty])</f>
        <v>5</v>
      </c>
      <c r="H197" s="15">
        <f>SUMIF([1]!Table35[Kode],[1]!Table1[[#This Row],[Kode]],[1]!Table35[Qty])</f>
        <v>0</v>
      </c>
      <c r="I197" s="16">
        <f>[1]!Table1[[#This Row],[Stock Awal]]+[1]!Table1[[#This Row],[Stok Masuk]]-[1]!Table1[[#This Row],[Stok Keluar]]</f>
        <v>5</v>
      </c>
    </row>
    <row r="198" spans="1:9" ht="17">
      <c r="A198" s="10" t="s">
        <v>419</v>
      </c>
      <c r="B198" s="24" t="s">
        <v>420</v>
      </c>
      <c r="C198" s="12">
        <v>32000</v>
      </c>
      <c r="D198" s="10" t="s">
        <v>96</v>
      </c>
      <c r="E198" s="10" t="s">
        <v>421</v>
      </c>
      <c r="F198" s="10"/>
      <c r="G198" s="15">
        <f>SUMIF([1]!Table3[Kode],[1]!Table1[[#This Row],[Kode]],[1]!Table3[Qty])</f>
        <v>5</v>
      </c>
      <c r="H198" s="15">
        <f>SUMIF([1]!Table35[Kode],[1]!Table1[[#This Row],[Kode]],[1]!Table35[Qty])</f>
        <v>5</v>
      </c>
      <c r="I198" s="16">
        <f>[1]!Table1[[#This Row],[Stock Awal]]+[1]!Table1[[#This Row],[Stok Masuk]]-[1]!Table1[[#This Row],[Stok Keluar]]</f>
        <v>0</v>
      </c>
    </row>
    <row r="199" spans="1:9" ht="17">
      <c r="A199" s="10" t="s">
        <v>422</v>
      </c>
      <c r="B199" s="24" t="s">
        <v>423</v>
      </c>
      <c r="C199" s="12">
        <v>32000</v>
      </c>
      <c r="D199" s="10" t="s">
        <v>96</v>
      </c>
      <c r="E199" s="10" t="s">
        <v>421</v>
      </c>
      <c r="F199" s="10"/>
      <c r="G199" s="15">
        <f>SUMIF([1]!Table3[Kode],[1]!Table1[[#This Row],[Kode]],[1]!Table3[Qty])</f>
        <v>5</v>
      </c>
      <c r="H199" s="15">
        <f>SUMIF([1]!Table35[Kode],[1]!Table1[[#This Row],[Kode]],[1]!Table35[Qty])</f>
        <v>2</v>
      </c>
      <c r="I199" s="16">
        <f>[1]!Table1[[#This Row],[Stock Awal]]+[1]!Table1[[#This Row],[Stok Masuk]]-[1]!Table1[[#This Row],[Stok Keluar]]</f>
        <v>3</v>
      </c>
    </row>
    <row r="200" spans="1:9" ht="17">
      <c r="A200" s="10" t="s">
        <v>424</v>
      </c>
      <c r="B200" s="24" t="s">
        <v>425</v>
      </c>
      <c r="C200" s="12">
        <v>32000</v>
      </c>
      <c r="D200" s="10" t="s">
        <v>96</v>
      </c>
      <c r="E200" s="10" t="s">
        <v>421</v>
      </c>
      <c r="F200" s="10"/>
      <c r="G200" s="15">
        <f>SUMIF([1]!Table3[Kode],[1]!Table1[[#This Row],[Kode]],[1]!Table3[Qty])</f>
        <v>5</v>
      </c>
      <c r="H200" s="15">
        <f>SUMIF([1]!Table35[Kode],[1]!Table1[[#This Row],[Kode]],[1]!Table35[Qty])</f>
        <v>0</v>
      </c>
      <c r="I200" s="16">
        <f>[1]!Table1[[#This Row],[Stock Awal]]+[1]!Table1[[#This Row],[Stok Masuk]]-[1]!Table1[[#This Row],[Stok Keluar]]</f>
        <v>5</v>
      </c>
    </row>
    <row r="201" spans="1:9" ht="17">
      <c r="A201" s="10" t="s">
        <v>426</v>
      </c>
      <c r="B201" s="24" t="s">
        <v>427</v>
      </c>
      <c r="C201" s="12">
        <v>32000</v>
      </c>
      <c r="D201" s="10" t="s">
        <v>96</v>
      </c>
      <c r="E201" s="10" t="s">
        <v>421</v>
      </c>
      <c r="F201" s="10"/>
      <c r="G201" s="15">
        <f>SUMIF([1]!Table3[Kode],[1]!Table1[[#This Row],[Kode]],[1]!Table3[Qty])</f>
        <v>5</v>
      </c>
      <c r="H201" s="15">
        <f>SUMIF([1]!Table35[Kode],[1]!Table1[[#This Row],[Kode]],[1]!Table35[Qty])</f>
        <v>1</v>
      </c>
      <c r="I201" s="16">
        <f>[1]!Table1[[#This Row],[Stock Awal]]+[1]!Table1[[#This Row],[Stok Masuk]]-[1]!Table1[[#This Row],[Stok Keluar]]</f>
        <v>4</v>
      </c>
    </row>
    <row r="202" spans="1:9" ht="17">
      <c r="A202" s="10" t="s">
        <v>428</v>
      </c>
      <c r="B202" s="24" t="s">
        <v>429</v>
      </c>
      <c r="C202" s="12">
        <v>30000</v>
      </c>
      <c r="D202" s="10" t="s">
        <v>96</v>
      </c>
      <c r="E202" s="10" t="s">
        <v>217</v>
      </c>
      <c r="F202" s="10"/>
      <c r="G202" s="15">
        <f>SUMIF([1]!Table3[Kode],[1]!Table1[[#This Row],[Kode]],[1]!Table3[Qty])</f>
        <v>10</v>
      </c>
      <c r="H202" s="15">
        <f>SUMIF([1]!Table35[Kode],[1]!Table1[[#This Row],[Kode]],[1]!Table35[Qty])</f>
        <v>8</v>
      </c>
      <c r="I202" s="16">
        <f>[1]!Table1[[#This Row],[Stock Awal]]+[1]!Table1[[#This Row],[Stok Masuk]]-[1]!Table1[[#This Row],[Stok Keluar]]</f>
        <v>2</v>
      </c>
    </row>
    <row r="203" spans="1:9" ht="17">
      <c r="A203" s="10" t="s">
        <v>430</v>
      </c>
      <c r="B203" s="24" t="s">
        <v>431</v>
      </c>
      <c r="C203" s="12">
        <v>30000</v>
      </c>
      <c r="D203" s="10" t="s">
        <v>96</v>
      </c>
      <c r="E203" s="10" t="s">
        <v>217</v>
      </c>
      <c r="F203" s="10"/>
      <c r="G203" s="15">
        <f>SUMIF([1]!Table3[Kode],[1]!Table1[[#This Row],[Kode]],[1]!Table3[Qty])</f>
        <v>10</v>
      </c>
      <c r="H203" s="15">
        <f>SUMIF([1]!Table35[Kode],[1]!Table1[[#This Row],[Kode]],[1]!Table35[Qty])</f>
        <v>5</v>
      </c>
      <c r="I203" s="16">
        <f>[1]!Table1[[#This Row],[Stock Awal]]+[1]!Table1[[#This Row],[Stok Masuk]]-[1]!Table1[[#This Row],[Stok Keluar]]</f>
        <v>5</v>
      </c>
    </row>
    <row r="204" spans="1:9" ht="17">
      <c r="A204" s="10" t="s">
        <v>432</v>
      </c>
      <c r="B204" s="24" t="s">
        <v>433</v>
      </c>
      <c r="C204" s="12">
        <v>30000</v>
      </c>
      <c r="D204" s="10" t="s">
        <v>96</v>
      </c>
      <c r="E204" s="10" t="s">
        <v>217</v>
      </c>
      <c r="F204" s="10"/>
      <c r="G204" s="15">
        <f>SUMIF([1]!Table3[Kode],[1]!Table1[[#This Row],[Kode]],[1]!Table3[Qty])</f>
        <v>5</v>
      </c>
      <c r="H204" s="15">
        <f>SUMIF([1]!Table35[Kode],[1]!Table1[[#This Row],[Kode]],[1]!Table35[Qty])</f>
        <v>2</v>
      </c>
      <c r="I204" s="16">
        <f>[1]!Table1[[#This Row],[Stock Awal]]+[1]!Table1[[#This Row],[Stok Masuk]]-[1]!Table1[[#This Row],[Stok Keluar]]</f>
        <v>3</v>
      </c>
    </row>
    <row r="205" spans="1:9" ht="17">
      <c r="A205" s="10" t="s">
        <v>434</v>
      </c>
      <c r="B205" s="24" t="s">
        <v>435</v>
      </c>
      <c r="C205" s="12">
        <v>30000</v>
      </c>
      <c r="D205" s="10" t="s">
        <v>96</v>
      </c>
      <c r="E205" s="10" t="s">
        <v>217</v>
      </c>
      <c r="F205" s="10"/>
      <c r="G205" s="15">
        <f>SUMIF([1]!Table3[Kode],[1]!Table1[[#This Row],[Kode]],[1]!Table3[Qty])</f>
        <v>7</v>
      </c>
      <c r="H205" s="15">
        <f>SUMIF([1]!Table35[Kode],[1]!Table1[[#This Row],[Kode]],[1]!Table35[Qty])</f>
        <v>5</v>
      </c>
      <c r="I205" s="16">
        <f>[1]!Table1[[#This Row],[Stock Awal]]+[1]!Table1[[#This Row],[Stok Masuk]]-[1]!Table1[[#This Row],[Stok Keluar]]</f>
        <v>2</v>
      </c>
    </row>
    <row r="206" spans="1:9" ht="17">
      <c r="A206" s="10" t="s">
        <v>436</v>
      </c>
      <c r="B206" s="24" t="s">
        <v>437</v>
      </c>
      <c r="C206" s="12">
        <v>30000</v>
      </c>
      <c r="D206" s="10" t="s">
        <v>96</v>
      </c>
      <c r="E206" s="10" t="s">
        <v>217</v>
      </c>
      <c r="F206" s="10"/>
      <c r="G206" s="15">
        <f>SUMIF([1]!Table3[Kode],[1]!Table1[[#This Row],[Kode]],[1]!Table3[Qty])</f>
        <v>5</v>
      </c>
      <c r="H206" s="15">
        <f>SUMIF([1]!Table35[Kode],[1]!Table1[[#This Row],[Kode]],[1]!Table35[Qty])</f>
        <v>2</v>
      </c>
      <c r="I206" s="16">
        <f>[1]!Table1[[#This Row],[Stock Awal]]+[1]!Table1[[#This Row],[Stok Masuk]]-[1]!Table1[[#This Row],[Stok Keluar]]</f>
        <v>3</v>
      </c>
    </row>
    <row r="207" spans="1:9" ht="17">
      <c r="A207" s="10" t="s">
        <v>438</v>
      </c>
      <c r="B207" s="24" t="s">
        <v>439</v>
      </c>
      <c r="C207" s="12">
        <v>30000</v>
      </c>
      <c r="D207" s="10" t="s">
        <v>96</v>
      </c>
      <c r="E207" s="10" t="s">
        <v>217</v>
      </c>
      <c r="F207" s="10"/>
      <c r="G207" s="15">
        <f>SUMIF([1]!Table3[Kode],[1]!Table1[[#This Row],[Kode]],[1]!Table3[Qty])</f>
        <v>5</v>
      </c>
      <c r="H207" s="15">
        <f>SUMIF([1]!Table35[Kode],[1]!Table1[[#This Row],[Kode]],[1]!Table35[Qty])</f>
        <v>4</v>
      </c>
      <c r="I207" s="16">
        <f>[1]!Table1[[#This Row],[Stock Awal]]+[1]!Table1[[#This Row],[Stok Masuk]]-[1]!Table1[[#This Row],[Stok Keluar]]</f>
        <v>1</v>
      </c>
    </row>
    <row r="208" spans="1:9" ht="17">
      <c r="A208" s="10" t="s">
        <v>440</v>
      </c>
      <c r="B208" s="24" t="s">
        <v>441</v>
      </c>
      <c r="C208" s="12">
        <v>30000</v>
      </c>
      <c r="D208" s="10" t="s">
        <v>96</v>
      </c>
      <c r="E208" s="10" t="s">
        <v>217</v>
      </c>
      <c r="F208" s="10"/>
      <c r="G208" s="15">
        <f>SUMIF([1]!Table3[Kode],[1]!Table1[[#This Row],[Kode]],[1]!Table3[Qty])</f>
        <v>5</v>
      </c>
      <c r="H208" s="15">
        <f>SUMIF([1]!Table35[Kode],[1]!Table1[[#This Row],[Kode]],[1]!Table35[Qty])</f>
        <v>5</v>
      </c>
      <c r="I208" s="16">
        <f>[1]!Table1[[#This Row],[Stock Awal]]+[1]!Table1[[#This Row],[Stok Masuk]]-[1]!Table1[[#This Row],[Stok Keluar]]</f>
        <v>0</v>
      </c>
    </row>
    <row r="209" spans="1:9" ht="17">
      <c r="A209" s="10" t="s">
        <v>442</v>
      </c>
      <c r="B209" s="24" t="s">
        <v>443</v>
      </c>
      <c r="C209" s="12">
        <v>28000</v>
      </c>
      <c r="D209" s="10" t="s">
        <v>12</v>
      </c>
      <c r="E209" s="10" t="s">
        <v>13</v>
      </c>
      <c r="F209" s="10"/>
      <c r="G209" s="15">
        <f>SUMIF([1]!Table3[Kode],[1]!Table1[[#This Row],[Kode]],[1]!Table3[Qty])</f>
        <v>5</v>
      </c>
      <c r="H209" s="15">
        <f>SUMIF([1]!Table35[Kode],[1]!Table1[[#This Row],[Kode]],[1]!Table35[Qty])</f>
        <v>0</v>
      </c>
      <c r="I209" s="16">
        <f>[1]!Table1[[#This Row],[Stock Awal]]+[1]!Table1[[#This Row],[Stok Masuk]]-[1]!Table1[[#This Row],[Stok Keluar]]</f>
        <v>5</v>
      </c>
    </row>
    <row r="210" spans="1:9" ht="17">
      <c r="A210" s="10" t="s">
        <v>444</v>
      </c>
      <c r="B210" s="24" t="s">
        <v>445</v>
      </c>
      <c r="C210" s="12">
        <v>28000</v>
      </c>
      <c r="D210" s="10" t="s">
        <v>12</v>
      </c>
      <c r="E210" s="10" t="s">
        <v>13</v>
      </c>
      <c r="F210" s="10"/>
      <c r="G210" s="15">
        <f>SUMIF([1]!Table3[Kode],[1]!Table1[[#This Row],[Kode]],[1]!Table3[Qty])</f>
        <v>5</v>
      </c>
      <c r="H210" s="15">
        <f>SUMIF([1]!Table35[Kode],[1]!Table1[[#This Row],[Kode]],[1]!Table35[Qty])</f>
        <v>0</v>
      </c>
      <c r="I210" s="16">
        <f>[1]!Table1[[#This Row],[Stock Awal]]+[1]!Table1[[#This Row],[Stok Masuk]]-[1]!Table1[[#This Row],[Stok Keluar]]</f>
        <v>5</v>
      </c>
    </row>
    <row r="211" spans="1:9" ht="17">
      <c r="A211" s="10" t="s">
        <v>446</v>
      </c>
      <c r="B211" s="24" t="s">
        <v>447</v>
      </c>
      <c r="C211" s="12">
        <v>28000</v>
      </c>
      <c r="D211" s="10" t="s">
        <v>12</v>
      </c>
      <c r="E211" s="10" t="s">
        <v>13</v>
      </c>
      <c r="F211" s="10"/>
      <c r="G211" s="15">
        <f>SUMIF([1]!Table3[Kode],[1]!Table1[[#This Row],[Kode]],[1]!Table3[Qty])</f>
        <v>5</v>
      </c>
      <c r="H211" s="15">
        <f>SUMIF([1]!Table35[Kode],[1]!Table1[[#This Row],[Kode]],[1]!Table35[Qty])</f>
        <v>0</v>
      </c>
      <c r="I211" s="16">
        <f>[1]!Table1[[#This Row],[Stock Awal]]+[1]!Table1[[#This Row],[Stok Masuk]]-[1]!Table1[[#This Row],[Stok Keluar]]</f>
        <v>5</v>
      </c>
    </row>
    <row r="212" spans="1:9" ht="17">
      <c r="A212" s="10" t="s">
        <v>448</v>
      </c>
      <c r="B212" s="24" t="s">
        <v>449</v>
      </c>
      <c r="C212" s="12">
        <v>27000</v>
      </c>
      <c r="D212" s="10" t="s">
        <v>12</v>
      </c>
      <c r="E212" s="10" t="s">
        <v>13</v>
      </c>
      <c r="F212" s="10"/>
      <c r="G212" s="15">
        <f>SUMIF([1]!Table3[Kode],[1]!Table1[[#This Row],[Kode]],[1]!Table3[Qty])</f>
        <v>5</v>
      </c>
      <c r="H212" s="15">
        <f>SUMIF([1]!Table35[Kode],[1]!Table1[[#This Row],[Kode]],[1]!Table35[Qty])</f>
        <v>0</v>
      </c>
      <c r="I212" s="16">
        <f>[1]!Table1[[#This Row],[Stock Awal]]+[1]!Table1[[#This Row],[Stok Masuk]]-[1]!Table1[[#This Row],[Stok Keluar]]</f>
        <v>5</v>
      </c>
    </row>
    <row r="213" spans="1:9" ht="17">
      <c r="A213" s="10" t="s">
        <v>450</v>
      </c>
      <c r="B213" s="24" t="s">
        <v>451</v>
      </c>
      <c r="C213" s="12">
        <v>27000</v>
      </c>
      <c r="D213" s="10" t="s">
        <v>12</v>
      </c>
      <c r="E213" s="10" t="s">
        <v>13</v>
      </c>
      <c r="F213" s="10"/>
      <c r="G213" s="15">
        <f>SUMIF([1]!Table3[Kode],[1]!Table1[[#This Row],[Kode]],[1]!Table3[Qty])</f>
        <v>5</v>
      </c>
      <c r="H213" s="15">
        <f>SUMIF([1]!Table35[Kode],[1]!Table1[[#This Row],[Kode]],[1]!Table35[Qty])</f>
        <v>0</v>
      </c>
      <c r="I213" s="16">
        <f>[1]!Table1[[#This Row],[Stock Awal]]+[1]!Table1[[#This Row],[Stok Masuk]]-[1]!Table1[[#This Row],[Stok Keluar]]</f>
        <v>5</v>
      </c>
    </row>
    <row r="214" spans="1:9" ht="34">
      <c r="A214" s="10" t="s">
        <v>452</v>
      </c>
      <c r="B214" s="24" t="s">
        <v>453</v>
      </c>
      <c r="C214" s="12">
        <v>38000</v>
      </c>
      <c r="D214" s="10" t="s">
        <v>12</v>
      </c>
      <c r="E214" s="10" t="s">
        <v>454</v>
      </c>
      <c r="F214" s="10"/>
      <c r="G214" s="15">
        <f>SUMIF([1]!Table3[Kode],[1]!Table1[[#This Row],[Kode]],[1]!Table3[Qty])</f>
        <v>5</v>
      </c>
      <c r="H214" s="15">
        <f>SUMIF([1]!Table35[Kode],[1]!Table1[[#This Row],[Kode]],[1]!Table35[Qty])</f>
        <v>1</v>
      </c>
      <c r="I214" s="16">
        <f>[1]!Table1[[#This Row],[Stock Awal]]+[1]!Table1[[#This Row],[Stok Masuk]]-[1]!Table1[[#This Row],[Stok Keluar]]</f>
        <v>4</v>
      </c>
    </row>
    <row r="215" spans="1:9" ht="34">
      <c r="A215" s="10" t="s">
        <v>455</v>
      </c>
      <c r="B215" s="24" t="s">
        <v>456</v>
      </c>
      <c r="C215" s="12">
        <v>38000</v>
      </c>
      <c r="D215" s="10" t="s">
        <v>12</v>
      </c>
      <c r="E215" s="10" t="s">
        <v>454</v>
      </c>
      <c r="F215" s="10"/>
      <c r="G215" s="15">
        <f>SUMIF([1]!Table3[Kode],[1]!Table1[[#This Row],[Kode]],[1]!Table3[Qty])</f>
        <v>5</v>
      </c>
      <c r="H215" s="15">
        <f>SUMIF([1]!Table35[Kode],[1]!Table1[[#This Row],[Kode]],[1]!Table35[Qty])</f>
        <v>1</v>
      </c>
      <c r="I215" s="16">
        <f>[1]!Table1[[#This Row],[Stock Awal]]+[1]!Table1[[#This Row],[Stok Masuk]]-[1]!Table1[[#This Row],[Stok Keluar]]</f>
        <v>4</v>
      </c>
    </row>
    <row r="216" spans="1:9" ht="34">
      <c r="A216" s="10" t="s">
        <v>457</v>
      </c>
      <c r="B216" s="24" t="s">
        <v>458</v>
      </c>
      <c r="C216" s="12">
        <v>38000</v>
      </c>
      <c r="D216" s="10" t="s">
        <v>12</v>
      </c>
      <c r="E216" s="10" t="s">
        <v>454</v>
      </c>
      <c r="F216" s="10"/>
      <c r="G216" s="15">
        <f>SUMIF([1]!Table3[Kode],[1]!Table1[[#This Row],[Kode]],[1]!Table3[Qty])</f>
        <v>5</v>
      </c>
      <c r="H216" s="15">
        <f>SUMIF([1]!Table35[Kode],[1]!Table1[[#This Row],[Kode]],[1]!Table35[Qty])</f>
        <v>1</v>
      </c>
      <c r="I216" s="16">
        <f>[1]!Table1[[#This Row],[Stock Awal]]+[1]!Table1[[#This Row],[Stok Masuk]]-[1]!Table1[[#This Row],[Stok Keluar]]</f>
        <v>4</v>
      </c>
    </row>
    <row r="217" spans="1:9" ht="34">
      <c r="A217" s="10" t="s">
        <v>459</v>
      </c>
      <c r="B217" s="24" t="s">
        <v>460</v>
      </c>
      <c r="C217" s="12">
        <v>45000</v>
      </c>
      <c r="D217" s="10" t="s">
        <v>96</v>
      </c>
      <c r="E217" s="10" t="s">
        <v>217</v>
      </c>
      <c r="F217" s="10"/>
      <c r="G217" s="15">
        <f>SUMIF([1]!Table3[Kode],[1]!Table1[[#This Row],[Kode]],[1]!Table3[Qty])</f>
        <v>5</v>
      </c>
      <c r="H217" s="15">
        <f>SUMIF([1]!Table35[Kode],[1]!Table1[[#This Row],[Kode]],[1]!Table35[Qty])</f>
        <v>3</v>
      </c>
      <c r="I217" s="16">
        <f>[1]!Table1[[#This Row],[Stock Awal]]+[1]!Table1[[#This Row],[Stok Masuk]]-[1]!Table1[[#This Row],[Stok Keluar]]</f>
        <v>2</v>
      </c>
    </row>
    <row r="218" spans="1:9" ht="34">
      <c r="A218" s="10" t="s">
        <v>461</v>
      </c>
      <c r="B218" s="24" t="s">
        <v>462</v>
      </c>
      <c r="C218" s="12">
        <v>45000</v>
      </c>
      <c r="D218" s="10" t="s">
        <v>96</v>
      </c>
      <c r="E218" s="10" t="s">
        <v>217</v>
      </c>
      <c r="F218" s="10"/>
      <c r="G218" s="15">
        <f>SUMIF([1]!Table3[Kode],[1]!Table1[[#This Row],[Kode]],[1]!Table3[Qty])</f>
        <v>5</v>
      </c>
      <c r="H218" s="15">
        <f>SUMIF([1]!Table35[Kode],[1]!Table1[[#This Row],[Kode]],[1]!Table35[Qty])</f>
        <v>1</v>
      </c>
      <c r="I218" s="16">
        <f>[1]!Table1[[#This Row],[Stock Awal]]+[1]!Table1[[#This Row],[Stok Masuk]]-[1]!Table1[[#This Row],[Stok Keluar]]</f>
        <v>4</v>
      </c>
    </row>
    <row r="219" spans="1:9" ht="34">
      <c r="A219" s="10" t="s">
        <v>463</v>
      </c>
      <c r="B219" s="24" t="s">
        <v>464</v>
      </c>
      <c r="C219" s="12">
        <v>45000</v>
      </c>
      <c r="D219" s="10" t="s">
        <v>96</v>
      </c>
      <c r="E219" s="10" t="s">
        <v>217</v>
      </c>
      <c r="F219" s="10"/>
      <c r="G219" s="15">
        <f>SUMIF([1]!Table3[Kode],[1]!Table1[[#This Row],[Kode]],[1]!Table3[Qty])</f>
        <v>5</v>
      </c>
      <c r="H219" s="15">
        <f>SUMIF([1]!Table35[Kode],[1]!Table1[[#This Row],[Kode]],[1]!Table35[Qty])</f>
        <v>1</v>
      </c>
      <c r="I219" s="16">
        <f>[1]!Table1[[#This Row],[Stock Awal]]+[1]!Table1[[#This Row],[Stok Masuk]]-[1]!Table1[[#This Row],[Stok Keluar]]</f>
        <v>4</v>
      </c>
    </row>
    <row r="220" spans="1:9" ht="34">
      <c r="A220" s="10" t="s">
        <v>465</v>
      </c>
      <c r="B220" s="24" t="s">
        <v>466</v>
      </c>
      <c r="C220" s="12">
        <v>45000</v>
      </c>
      <c r="D220" s="10" t="s">
        <v>96</v>
      </c>
      <c r="E220" s="10" t="s">
        <v>217</v>
      </c>
      <c r="F220" s="10"/>
      <c r="G220" s="15">
        <f>SUMIF([1]!Table3[Kode],[1]!Table1[[#This Row],[Kode]],[1]!Table3[Qty])</f>
        <v>5</v>
      </c>
      <c r="H220" s="15">
        <f>SUMIF([1]!Table35[Kode],[1]!Table1[[#This Row],[Kode]],[1]!Table35[Qty])</f>
        <v>1</v>
      </c>
      <c r="I220" s="16">
        <f>[1]!Table1[[#This Row],[Stock Awal]]+[1]!Table1[[#This Row],[Stok Masuk]]-[1]!Table1[[#This Row],[Stok Keluar]]</f>
        <v>4</v>
      </c>
    </row>
    <row r="221" spans="1:9" ht="34">
      <c r="A221" s="10" t="s">
        <v>467</v>
      </c>
      <c r="B221" s="24" t="s">
        <v>468</v>
      </c>
      <c r="C221" s="12">
        <v>40000</v>
      </c>
      <c r="D221" s="10" t="s">
        <v>12</v>
      </c>
      <c r="E221" s="10" t="s">
        <v>13</v>
      </c>
      <c r="F221" s="10"/>
      <c r="G221" s="15">
        <f>SUMIF([1]!Table3[Kode],[1]!Table1[[#This Row],[Kode]],[1]!Table3[Qty])</f>
        <v>3</v>
      </c>
      <c r="H221" s="15">
        <f>SUMIF([1]!Table35[Kode],[1]!Table1[[#This Row],[Kode]],[1]!Table35[Qty])</f>
        <v>0</v>
      </c>
      <c r="I221" s="16">
        <f>[1]!Table1[[#This Row],[Stock Awal]]+[1]!Table1[[#This Row],[Stok Masuk]]-[1]!Table1[[#This Row],[Stok Keluar]]</f>
        <v>3</v>
      </c>
    </row>
    <row r="222" spans="1:9" ht="34">
      <c r="A222" s="10" t="s">
        <v>469</v>
      </c>
      <c r="B222" s="24" t="s">
        <v>470</v>
      </c>
      <c r="C222" s="12">
        <v>40000</v>
      </c>
      <c r="D222" s="10" t="s">
        <v>12</v>
      </c>
      <c r="E222" s="10" t="s">
        <v>13</v>
      </c>
      <c r="F222" s="10"/>
      <c r="G222" s="15">
        <f>SUMIF([1]!Table3[Kode],[1]!Table1[[#This Row],[Kode]],[1]!Table3[Qty])</f>
        <v>5</v>
      </c>
      <c r="H222" s="15">
        <f>SUMIF([1]!Table35[Kode],[1]!Table1[[#This Row],[Kode]],[1]!Table35[Qty])</f>
        <v>2</v>
      </c>
      <c r="I222" s="16">
        <f>[1]!Table1[[#This Row],[Stock Awal]]+[1]!Table1[[#This Row],[Stok Masuk]]-[1]!Table1[[#This Row],[Stok Keluar]]</f>
        <v>3</v>
      </c>
    </row>
    <row r="223" spans="1:9" ht="34">
      <c r="A223" s="10" t="s">
        <v>471</v>
      </c>
      <c r="B223" s="24" t="s">
        <v>472</v>
      </c>
      <c r="C223" s="12">
        <v>40000</v>
      </c>
      <c r="D223" s="10" t="s">
        <v>12</v>
      </c>
      <c r="E223" s="10" t="s">
        <v>13</v>
      </c>
      <c r="F223" s="10"/>
      <c r="G223" s="15">
        <f>SUMIF([1]!Table3[Kode],[1]!Table1[[#This Row],[Kode]],[1]!Table3[Qty])</f>
        <v>5</v>
      </c>
      <c r="H223" s="15">
        <f>SUMIF([1]!Table35[Kode],[1]!Table1[[#This Row],[Kode]],[1]!Table35[Qty])</f>
        <v>2</v>
      </c>
      <c r="I223" s="16">
        <f>[1]!Table1[[#This Row],[Stock Awal]]+[1]!Table1[[#This Row],[Stok Masuk]]-[1]!Table1[[#This Row],[Stok Keluar]]</f>
        <v>3</v>
      </c>
    </row>
    <row r="224" spans="1:9" ht="34">
      <c r="A224" s="10" t="s">
        <v>473</v>
      </c>
      <c r="B224" s="24" t="s">
        <v>474</v>
      </c>
      <c r="C224" s="12">
        <v>40000</v>
      </c>
      <c r="D224" s="10" t="s">
        <v>12</v>
      </c>
      <c r="E224" s="10" t="s">
        <v>13</v>
      </c>
      <c r="F224" s="10"/>
      <c r="G224" s="15">
        <f>SUMIF([1]!Table3[Kode],[1]!Table1[[#This Row],[Kode]],[1]!Table3[Qty])</f>
        <v>20</v>
      </c>
      <c r="H224" s="15">
        <f>SUMIF([1]!Table35[Kode],[1]!Table1[[#This Row],[Kode]],[1]!Table35[Qty])</f>
        <v>15</v>
      </c>
      <c r="I224" s="16">
        <f>[1]!Table1[[#This Row],[Stock Awal]]+[1]!Table1[[#This Row],[Stok Masuk]]-[1]!Table1[[#This Row],[Stok Keluar]]</f>
        <v>5</v>
      </c>
    </row>
    <row r="225" spans="1:9" ht="17">
      <c r="A225" s="10" t="s">
        <v>475</v>
      </c>
      <c r="B225" s="24" t="s">
        <v>476</v>
      </c>
      <c r="C225" s="12">
        <v>38000</v>
      </c>
      <c r="D225" s="10" t="s">
        <v>96</v>
      </c>
      <c r="E225" s="10" t="s">
        <v>226</v>
      </c>
      <c r="F225" s="10"/>
      <c r="G225" s="15">
        <f>SUMIF([1]!Table3[Kode],[1]!Table1[[#This Row],[Kode]],[1]!Table3[Qty])</f>
        <v>10</v>
      </c>
      <c r="H225" s="15">
        <f>SUMIF([1]!Table35[Kode],[1]!Table1[[#This Row],[Kode]],[1]!Table35[Qty])</f>
        <v>-9</v>
      </c>
      <c r="I225" s="16">
        <f>[1]!Table1[[#This Row],[Stock Awal]]+[1]!Table1[[#This Row],[Stok Masuk]]-[1]!Table1[[#This Row],[Stok Keluar]]</f>
        <v>19</v>
      </c>
    </row>
    <row r="226" spans="1:9" ht="34">
      <c r="A226" s="10" t="s">
        <v>477</v>
      </c>
      <c r="B226" s="24" t="s">
        <v>478</v>
      </c>
      <c r="C226" s="12">
        <v>25000</v>
      </c>
      <c r="D226" s="10" t="s">
        <v>96</v>
      </c>
      <c r="E226" s="10" t="s">
        <v>97</v>
      </c>
      <c r="F226" s="10"/>
      <c r="G226" s="15">
        <f>SUMIF([1]!Table3[Kode],[1]!Table1[[#This Row],[Kode]],[1]!Table3[Qty])</f>
        <v>15</v>
      </c>
      <c r="H226" s="15">
        <f>SUMIF([1]!Table35[Kode],[1]!Table1[[#This Row],[Kode]],[1]!Table35[Qty])</f>
        <v>7</v>
      </c>
      <c r="I226" s="16">
        <f>[1]!Table1[[#This Row],[Stock Awal]]+[1]!Table1[[#This Row],[Stok Masuk]]-[1]!Table1[[#This Row],[Stok Keluar]]</f>
        <v>8</v>
      </c>
    </row>
    <row r="227" spans="1:9" ht="34">
      <c r="A227" s="10" t="s">
        <v>479</v>
      </c>
      <c r="B227" s="24" t="s">
        <v>480</v>
      </c>
      <c r="C227" s="12">
        <v>25000</v>
      </c>
      <c r="D227" s="10" t="s">
        <v>96</v>
      </c>
      <c r="E227" s="10" t="s">
        <v>97</v>
      </c>
      <c r="F227" s="10"/>
      <c r="G227" s="15">
        <f>SUMIF([1]!Table3[Kode],[1]!Table1[[#This Row],[Kode]],[1]!Table3[Qty])</f>
        <v>5</v>
      </c>
      <c r="H227" s="15">
        <f>SUMIF([1]!Table35[Kode],[1]!Table1[[#This Row],[Kode]],[1]!Table35[Qty])</f>
        <v>-2</v>
      </c>
      <c r="I227" s="16">
        <f>[1]!Table1[[#This Row],[Stock Awal]]+[1]!Table1[[#This Row],[Stok Masuk]]-[1]!Table1[[#This Row],[Stok Keluar]]</f>
        <v>7</v>
      </c>
    </row>
    <row r="228" spans="1:9" ht="34">
      <c r="A228" s="10" t="s">
        <v>481</v>
      </c>
      <c r="B228" s="24" t="s">
        <v>482</v>
      </c>
      <c r="C228" s="12">
        <v>32000</v>
      </c>
      <c r="D228" s="10" t="s">
        <v>12</v>
      </c>
      <c r="E228" s="10" t="s">
        <v>347</v>
      </c>
      <c r="F228" s="10"/>
      <c r="G228" s="15">
        <f>SUMIF([1]!Table3[Kode],[1]!Table1[[#This Row],[Kode]],[1]!Table3[Qty])</f>
        <v>10</v>
      </c>
      <c r="H228" s="15">
        <f>SUMIF([1]!Table35[Kode],[1]!Table1[[#This Row],[Kode]],[1]!Table35[Qty])</f>
        <v>0</v>
      </c>
      <c r="I228" s="16">
        <f>[1]!Table1[[#This Row],[Stock Awal]]+[1]!Table1[[#This Row],[Stok Masuk]]-[1]!Table1[[#This Row],[Stok Keluar]]</f>
        <v>10</v>
      </c>
    </row>
    <row r="229" spans="1:9" ht="34">
      <c r="A229" s="10" t="s">
        <v>483</v>
      </c>
      <c r="B229" s="24" t="s">
        <v>484</v>
      </c>
      <c r="C229" s="12">
        <v>25000</v>
      </c>
      <c r="D229" s="10" t="s">
        <v>12</v>
      </c>
      <c r="E229" s="10" t="s">
        <v>97</v>
      </c>
      <c r="F229" s="10"/>
      <c r="G229" s="15">
        <f>SUMIF([1]!Table3[Kode],[1]!Table1[[#This Row],[Kode]],[1]!Table3[Qty])</f>
        <v>10</v>
      </c>
      <c r="H229" s="15">
        <f>SUMIF([1]!Table35[Kode],[1]!Table1[[#This Row],[Kode]],[1]!Table35[Qty])</f>
        <v>0</v>
      </c>
      <c r="I229" s="16">
        <f>[1]!Table1[[#This Row],[Stock Awal]]+[1]!Table1[[#This Row],[Stok Masuk]]-[1]!Table1[[#This Row],[Stok Keluar]]</f>
        <v>10</v>
      </c>
    </row>
    <row r="230" spans="1:9" ht="17">
      <c r="A230" s="10" t="s">
        <v>485</v>
      </c>
      <c r="B230" s="24" t="s">
        <v>349</v>
      </c>
      <c r="C230" s="12">
        <v>35000</v>
      </c>
      <c r="D230" s="10" t="s">
        <v>12</v>
      </c>
      <c r="E230" s="10" t="s">
        <v>13</v>
      </c>
      <c r="F230" s="10"/>
      <c r="G230" s="15">
        <f>SUMIF([1]!Table3[Kode],[1]!Table1[[#This Row],[Kode]],[1]!Table3[Qty])</f>
        <v>10</v>
      </c>
      <c r="H230" s="15">
        <f>SUMIF([1]!Table35[Kode],[1]!Table1[[#This Row],[Kode]],[1]!Table35[Qty])</f>
        <v>8</v>
      </c>
      <c r="I230" s="16">
        <f>[1]!Table1[[#This Row],[Stock Awal]]+[1]!Table1[[#This Row],[Stok Masuk]]-[1]!Table1[[#This Row],[Stok Keluar]]</f>
        <v>2</v>
      </c>
    </row>
    <row r="231" spans="1:9" ht="17">
      <c r="A231" s="10" t="s">
        <v>486</v>
      </c>
      <c r="B231" s="11" t="s">
        <v>487</v>
      </c>
      <c r="C231" s="17">
        <v>38000</v>
      </c>
      <c r="D231" s="10" t="s">
        <v>12</v>
      </c>
      <c r="E231" s="10" t="s">
        <v>488</v>
      </c>
      <c r="F231" s="10"/>
      <c r="G231" s="15">
        <f>SUMIF([1]!Table3[Kode],[1]!Table1[[#This Row],[Kode]],[1]!Table3[Qty])</f>
        <v>15</v>
      </c>
      <c r="H231" s="15">
        <f>SUMIF([1]!Table35[Kode],[1]!Table1[[#This Row],[Kode]],[1]!Table35[Qty])</f>
        <v>4</v>
      </c>
      <c r="I231" s="16">
        <f>[1]!Table1[[#This Row],[Stock Awal]]+[1]!Table1[[#This Row],[Stok Masuk]]-[1]!Table1[[#This Row],[Stok Keluar]]</f>
        <v>11</v>
      </c>
    </row>
    <row r="232" spans="1:9" ht="17">
      <c r="A232" s="10" t="s">
        <v>489</v>
      </c>
      <c r="B232" s="11" t="s">
        <v>490</v>
      </c>
      <c r="C232" s="17">
        <v>38000</v>
      </c>
      <c r="D232" s="10" t="s">
        <v>12</v>
      </c>
      <c r="E232" s="10" t="s">
        <v>488</v>
      </c>
      <c r="F232" s="10"/>
      <c r="G232" s="15">
        <f>SUMIF([1]!Table3[Kode],[1]!Table1[[#This Row],[Kode]],[1]!Table3[Qty])</f>
        <v>25</v>
      </c>
      <c r="H232" s="15">
        <f>SUMIF([1]!Table35[Kode],[1]!Table1[[#This Row],[Kode]],[1]!Table35[Qty])</f>
        <v>3</v>
      </c>
      <c r="I232" s="16">
        <f>[1]!Table1[[#This Row],[Stock Awal]]+[1]!Table1[[#This Row],[Stok Masuk]]-[1]!Table1[[#This Row],[Stok Keluar]]</f>
        <v>22</v>
      </c>
    </row>
    <row r="233" spans="1:9" ht="17">
      <c r="A233" s="10" t="s">
        <v>491</v>
      </c>
      <c r="B233" s="11" t="s">
        <v>492</v>
      </c>
      <c r="C233" s="17">
        <v>38000</v>
      </c>
      <c r="D233" s="10" t="s">
        <v>12</v>
      </c>
      <c r="E233" s="10" t="s">
        <v>488</v>
      </c>
      <c r="F233" s="10"/>
      <c r="G233" s="15">
        <f>SUMIF([1]!Table3[Kode],[1]!Table1[[#This Row],[Kode]],[1]!Table3[Qty])</f>
        <v>25</v>
      </c>
      <c r="H233" s="15">
        <f>SUMIF([1]!Table35[Kode],[1]!Table1[[#This Row],[Kode]],[1]!Table35[Qty])</f>
        <v>12</v>
      </c>
      <c r="I233" s="16">
        <f>[1]!Table1[[#This Row],[Stock Awal]]+[1]!Table1[[#This Row],[Stok Masuk]]-[1]!Table1[[#This Row],[Stok Keluar]]</f>
        <v>13</v>
      </c>
    </row>
    <row r="234" spans="1:9" ht="17">
      <c r="A234" s="10" t="s">
        <v>493</v>
      </c>
      <c r="B234" s="11" t="s">
        <v>494</v>
      </c>
      <c r="C234" s="17">
        <v>38000</v>
      </c>
      <c r="D234" s="10" t="s">
        <v>12</v>
      </c>
      <c r="E234" s="10" t="s">
        <v>488</v>
      </c>
      <c r="F234" s="10"/>
      <c r="G234" s="15">
        <f>SUMIF([1]!Table3[Kode],[1]!Table1[[#This Row],[Kode]],[1]!Table3[Qty])</f>
        <v>10</v>
      </c>
      <c r="H234" s="15">
        <f>SUMIF([1]!Table35[Kode],[1]!Table1[[#This Row],[Kode]],[1]!Table35[Qty])</f>
        <v>2</v>
      </c>
      <c r="I234" s="16">
        <f>[1]!Table1[[#This Row],[Stock Awal]]+[1]!Table1[[#This Row],[Stok Masuk]]-[1]!Table1[[#This Row],[Stok Keluar]]</f>
        <v>8</v>
      </c>
    </row>
    <row r="235" spans="1:9" ht="17">
      <c r="A235" s="10" t="s">
        <v>495</v>
      </c>
      <c r="B235" s="11" t="s">
        <v>496</v>
      </c>
      <c r="C235" s="17">
        <v>38000</v>
      </c>
      <c r="D235" s="10" t="s">
        <v>12</v>
      </c>
      <c r="E235" s="10" t="s">
        <v>488</v>
      </c>
      <c r="F235" s="10"/>
      <c r="G235" s="15">
        <f>SUMIF([1]!Table3[Kode],[1]!Table1[[#This Row],[Kode]],[1]!Table3[Qty])</f>
        <v>10</v>
      </c>
      <c r="H235" s="15">
        <f>SUMIF([1]!Table35[Kode],[1]!Table1[[#This Row],[Kode]],[1]!Table35[Qty])</f>
        <v>2</v>
      </c>
      <c r="I235" s="16">
        <f>[1]!Table1[[#This Row],[Stock Awal]]+[1]!Table1[[#This Row],[Stok Masuk]]-[1]!Table1[[#This Row],[Stok Keluar]]</f>
        <v>8</v>
      </c>
    </row>
    <row r="236" spans="1:9" ht="17">
      <c r="A236" s="10" t="s">
        <v>497</v>
      </c>
      <c r="B236" s="11" t="s">
        <v>498</v>
      </c>
      <c r="C236" s="17">
        <v>22000</v>
      </c>
      <c r="D236" s="10" t="s">
        <v>12</v>
      </c>
      <c r="E236" s="10" t="s">
        <v>13</v>
      </c>
      <c r="F236" s="10"/>
      <c r="G236" s="15">
        <f>SUMIF([1]!Table3[Kode],[1]!Table1[[#This Row],[Kode]],[1]!Table3[Qty])</f>
        <v>10</v>
      </c>
      <c r="H236" s="15">
        <f>SUMIF([1]!Table35[Kode],[1]!Table1[[#This Row],[Kode]],[1]!Table35[Qty])</f>
        <v>9</v>
      </c>
      <c r="I236" s="16">
        <f>[1]!Table1[[#This Row],[Stock Awal]]+[1]!Table1[[#This Row],[Stok Masuk]]-[1]!Table1[[#This Row],[Stok Keluar]]</f>
        <v>1</v>
      </c>
    </row>
    <row r="237" spans="1:9" ht="17">
      <c r="A237" s="10" t="s">
        <v>499</v>
      </c>
      <c r="B237" s="11" t="s">
        <v>500</v>
      </c>
      <c r="C237" s="17">
        <v>26000</v>
      </c>
      <c r="D237" s="10" t="s">
        <v>12</v>
      </c>
      <c r="E237" s="10" t="s">
        <v>13</v>
      </c>
      <c r="F237" s="10"/>
      <c r="G237" s="15">
        <f>SUMIF([1]!Table3[Kode],[1]!Table1[[#This Row],[Kode]],[1]!Table3[Qty])</f>
        <v>15</v>
      </c>
      <c r="H237" s="15">
        <f>SUMIF([1]!Table35[Kode],[1]!Table1[[#This Row],[Kode]],[1]!Table35[Qty])</f>
        <v>11</v>
      </c>
      <c r="I237" s="16">
        <f>[1]!Table1[[#This Row],[Stock Awal]]+[1]!Table1[[#This Row],[Stok Masuk]]-[1]!Table1[[#This Row],[Stok Keluar]]</f>
        <v>4</v>
      </c>
    </row>
    <row r="238" spans="1:9" ht="34">
      <c r="A238" s="10" t="s">
        <v>501</v>
      </c>
      <c r="B238" s="11" t="s">
        <v>502</v>
      </c>
      <c r="C238" s="17">
        <v>32000</v>
      </c>
      <c r="D238" s="10" t="s">
        <v>96</v>
      </c>
      <c r="E238" s="10" t="s">
        <v>347</v>
      </c>
      <c r="F238" s="10"/>
      <c r="G238" s="15">
        <f>SUMIF([1]!Table3[Kode],[1]!Table1[[#This Row],[Kode]],[1]!Table3[Qty])</f>
        <v>5</v>
      </c>
      <c r="H238" s="15">
        <f>SUMIF([1]!Table35[Kode],[1]!Table1[[#This Row],[Kode]],[1]!Table35[Qty])</f>
        <v>5</v>
      </c>
      <c r="I238" s="16">
        <f>[1]!Table1[[#This Row],[Stock Awal]]+[1]!Table1[[#This Row],[Stok Masuk]]-[1]!Table1[[#This Row],[Stok Keluar]]</f>
        <v>0</v>
      </c>
    </row>
    <row r="239" spans="1:9" ht="34">
      <c r="A239" s="10" t="s">
        <v>503</v>
      </c>
      <c r="B239" s="11" t="s">
        <v>504</v>
      </c>
      <c r="C239" s="17">
        <v>32000</v>
      </c>
      <c r="D239" s="10" t="s">
        <v>96</v>
      </c>
      <c r="E239" s="10" t="s">
        <v>347</v>
      </c>
      <c r="F239" s="10"/>
      <c r="G239" s="15">
        <f>SUMIF([1]!Table3[Kode],[1]!Table1[[#This Row],[Kode]],[1]!Table3[Qty])</f>
        <v>5</v>
      </c>
      <c r="H239" s="15">
        <f>SUMIF([1]!Table35[Kode],[1]!Table1[[#This Row],[Kode]],[1]!Table35[Qty])</f>
        <v>1</v>
      </c>
      <c r="I239" s="16">
        <f>[1]!Table1[[#This Row],[Stock Awal]]+[1]!Table1[[#This Row],[Stok Masuk]]-[1]!Table1[[#This Row],[Stok Keluar]]</f>
        <v>4</v>
      </c>
    </row>
    <row r="240" spans="1:9" ht="34">
      <c r="A240" s="10" t="s">
        <v>505</v>
      </c>
      <c r="B240" s="11" t="s">
        <v>506</v>
      </c>
      <c r="C240" s="17">
        <v>32000</v>
      </c>
      <c r="D240" s="10" t="s">
        <v>96</v>
      </c>
      <c r="E240" s="10" t="s">
        <v>347</v>
      </c>
      <c r="F240" s="10"/>
      <c r="G240" s="15">
        <f>SUMIF([1]!Table3[Kode],[1]!Table1[[#This Row],[Kode]],[1]!Table3[Qty])</f>
        <v>5</v>
      </c>
      <c r="H240" s="15">
        <f>SUMIF([1]!Table35[Kode],[1]!Table1[[#This Row],[Kode]],[1]!Table35[Qty])</f>
        <v>1</v>
      </c>
      <c r="I240" s="16">
        <f>[1]!Table1[[#This Row],[Stock Awal]]+[1]!Table1[[#This Row],[Stok Masuk]]-[1]!Table1[[#This Row],[Stok Keluar]]</f>
        <v>4</v>
      </c>
    </row>
    <row r="241" spans="1:9" ht="34">
      <c r="A241" s="10" t="s">
        <v>507</v>
      </c>
      <c r="B241" s="11" t="s">
        <v>508</v>
      </c>
      <c r="C241" s="17">
        <v>32000</v>
      </c>
      <c r="D241" s="10" t="s">
        <v>96</v>
      </c>
      <c r="E241" s="10" t="s">
        <v>347</v>
      </c>
      <c r="F241" s="10"/>
      <c r="G241" s="15">
        <f>SUMIF([1]!Table3[Kode],[1]!Table1[[#This Row],[Kode]],[1]!Table3[Qty])</f>
        <v>5</v>
      </c>
      <c r="H241" s="15">
        <f>SUMIF([1]!Table35[Kode],[1]!Table1[[#This Row],[Kode]],[1]!Table35[Qty])</f>
        <v>1</v>
      </c>
      <c r="I241" s="16">
        <f>[1]!Table1[[#This Row],[Stock Awal]]+[1]!Table1[[#This Row],[Stok Masuk]]-[1]!Table1[[#This Row],[Stok Keluar]]</f>
        <v>4</v>
      </c>
    </row>
    <row r="242" spans="1:9" ht="34">
      <c r="A242" s="10" t="s">
        <v>509</v>
      </c>
      <c r="B242" s="11" t="s">
        <v>510</v>
      </c>
      <c r="C242" s="17">
        <v>35000</v>
      </c>
      <c r="D242" s="10" t="s">
        <v>96</v>
      </c>
      <c r="E242" s="10" t="s">
        <v>511</v>
      </c>
      <c r="F242" s="10"/>
      <c r="G242" s="15">
        <f>SUMIF([1]!Table3[Kode],[1]!Table1[[#This Row],[Kode]],[1]!Table3[Qty])</f>
        <v>5</v>
      </c>
      <c r="H242" s="15">
        <f>SUMIF([1]!Table35[Kode],[1]!Table1[[#This Row],[Kode]],[1]!Table35[Qty])</f>
        <v>1</v>
      </c>
      <c r="I242" s="16">
        <f>[1]!Table1[[#This Row],[Stock Awal]]+[1]!Table1[[#This Row],[Stok Masuk]]-[1]!Table1[[#This Row],[Stok Keluar]]</f>
        <v>4</v>
      </c>
    </row>
    <row r="243" spans="1:9" ht="17">
      <c r="A243" s="10" t="s">
        <v>512</v>
      </c>
      <c r="B243" s="11" t="s">
        <v>513</v>
      </c>
      <c r="C243" s="17">
        <v>55000</v>
      </c>
      <c r="D243" s="10" t="s">
        <v>12</v>
      </c>
      <c r="E243" s="10" t="s">
        <v>514</v>
      </c>
      <c r="F243" s="10"/>
      <c r="G243" s="15">
        <f>SUMIF([1]!Table3[Kode],[1]!Table1[[#This Row],[Kode]],[1]!Table3[Qty])</f>
        <v>10</v>
      </c>
      <c r="H243" s="15">
        <f>SUMIF([1]!Table35[Kode],[1]!Table1[[#This Row],[Kode]],[1]!Table35[Qty])</f>
        <v>5</v>
      </c>
      <c r="I243" s="16">
        <f>[1]!Table1[[#This Row],[Stock Awal]]+[1]!Table1[[#This Row],[Stok Masuk]]-[1]!Table1[[#This Row],[Stok Keluar]]</f>
        <v>5</v>
      </c>
    </row>
    <row r="244" spans="1:9" ht="17">
      <c r="A244" s="10" t="s">
        <v>515</v>
      </c>
      <c r="B244" s="11" t="s">
        <v>516</v>
      </c>
      <c r="C244" s="17">
        <v>55000</v>
      </c>
      <c r="D244" s="10" t="s">
        <v>12</v>
      </c>
      <c r="E244" s="10" t="s">
        <v>514</v>
      </c>
      <c r="F244" s="10"/>
      <c r="G244" s="15">
        <f>SUMIF([1]!Table3[Kode],[1]!Table1[[#This Row],[Kode]],[1]!Table3[Qty])</f>
        <v>10</v>
      </c>
      <c r="H244" s="15">
        <f>SUMIF([1]!Table35[Kode],[1]!Table1[[#This Row],[Kode]],[1]!Table35[Qty])</f>
        <v>3</v>
      </c>
      <c r="I244" s="16">
        <f>[1]!Table1[[#This Row],[Stock Awal]]+[1]!Table1[[#This Row],[Stok Masuk]]-[1]!Table1[[#This Row],[Stok Keluar]]</f>
        <v>7</v>
      </c>
    </row>
    <row r="245" spans="1:9" ht="17">
      <c r="A245" s="10" t="s">
        <v>517</v>
      </c>
      <c r="B245" s="11" t="s">
        <v>518</v>
      </c>
      <c r="C245" s="17">
        <v>55000</v>
      </c>
      <c r="D245" s="10" t="s">
        <v>12</v>
      </c>
      <c r="E245" s="10" t="s">
        <v>514</v>
      </c>
      <c r="F245" s="10"/>
      <c r="G245" s="15">
        <f>SUMIF([1]!Table3[Kode],[1]!Table1[[#This Row],[Kode]],[1]!Table3[Qty])</f>
        <v>10</v>
      </c>
      <c r="H245" s="15">
        <f>SUMIF([1]!Table35[Kode],[1]!Table1[[#This Row],[Kode]],[1]!Table35[Qty])</f>
        <v>3</v>
      </c>
      <c r="I245" s="16">
        <f>[1]!Table1[[#This Row],[Stock Awal]]+[1]!Table1[[#This Row],[Stok Masuk]]-[1]!Table1[[#This Row],[Stok Keluar]]</f>
        <v>7</v>
      </c>
    </row>
    <row r="246" spans="1:9" ht="17">
      <c r="A246" s="10" t="s">
        <v>519</v>
      </c>
      <c r="B246" s="11" t="s">
        <v>520</v>
      </c>
      <c r="C246" s="17">
        <v>55000</v>
      </c>
      <c r="D246" s="10" t="s">
        <v>12</v>
      </c>
      <c r="E246" s="10" t="s">
        <v>514</v>
      </c>
      <c r="F246" s="10"/>
      <c r="G246" s="15">
        <f>SUMIF([1]!Table3[Kode],[1]!Table1[[#This Row],[Kode]],[1]!Table3[Qty])</f>
        <v>10</v>
      </c>
      <c r="H246" s="15">
        <f>SUMIF([1]!Table35[Kode],[1]!Table1[[#This Row],[Kode]],[1]!Table35[Qty])</f>
        <v>9</v>
      </c>
      <c r="I246" s="16">
        <f>[1]!Table1[[#This Row],[Stock Awal]]+[1]!Table1[[#This Row],[Stok Masuk]]-[1]!Table1[[#This Row],[Stok Keluar]]</f>
        <v>1</v>
      </c>
    </row>
    <row r="247" spans="1:9" ht="17">
      <c r="A247" s="10" t="s">
        <v>521</v>
      </c>
      <c r="B247" s="11" t="s">
        <v>522</v>
      </c>
      <c r="C247" s="17">
        <v>36000</v>
      </c>
      <c r="D247" s="10" t="s">
        <v>12</v>
      </c>
      <c r="E247" s="10" t="s">
        <v>261</v>
      </c>
      <c r="F247" s="10"/>
      <c r="G247" s="15">
        <f>SUMIF([1]!Table3[Kode],[1]!Table1[[#This Row],[Kode]],[1]!Table3[Qty])</f>
        <v>5</v>
      </c>
      <c r="H247" s="15">
        <f>SUMIF([1]!Table35[Kode],[1]!Table1[[#This Row],[Kode]],[1]!Table35[Qty])</f>
        <v>2</v>
      </c>
      <c r="I247" s="16">
        <f>[1]!Table1[[#This Row],[Stock Awal]]+[1]!Table1[[#This Row],[Stok Masuk]]-[1]!Table1[[#This Row],[Stok Keluar]]</f>
        <v>3</v>
      </c>
    </row>
    <row r="248" spans="1:9" ht="17">
      <c r="A248" s="10" t="s">
        <v>523</v>
      </c>
      <c r="B248" s="11" t="s">
        <v>524</v>
      </c>
      <c r="C248" s="17">
        <v>36000</v>
      </c>
      <c r="D248" s="10" t="s">
        <v>12</v>
      </c>
      <c r="E248" s="10" t="s">
        <v>261</v>
      </c>
      <c r="F248" s="10"/>
      <c r="G248" s="15">
        <f>SUMIF([1]!Table3[Kode],[1]!Table1[[#This Row],[Kode]],[1]!Table3[Qty])</f>
        <v>5</v>
      </c>
      <c r="H248" s="15">
        <f>SUMIF([1]!Table35[Kode],[1]!Table1[[#This Row],[Kode]],[1]!Table35[Qty])</f>
        <v>3</v>
      </c>
      <c r="I248" s="16">
        <f>[1]!Table1[[#This Row],[Stock Awal]]+[1]!Table1[[#This Row],[Stok Masuk]]-[1]!Table1[[#This Row],[Stok Keluar]]</f>
        <v>2</v>
      </c>
    </row>
    <row r="249" spans="1:9" ht="17">
      <c r="A249" s="10" t="s">
        <v>525</v>
      </c>
      <c r="B249" s="11" t="s">
        <v>526</v>
      </c>
      <c r="C249" s="17">
        <v>36000</v>
      </c>
      <c r="D249" s="10" t="s">
        <v>12</v>
      </c>
      <c r="E249" s="10" t="s">
        <v>261</v>
      </c>
      <c r="F249" s="10"/>
      <c r="G249" s="15">
        <f>SUMIF([1]!Table3[Kode],[1]!Table1[[#This Row],[Kode]],[1]!Table3[Qty])</f>
        <v>5</v>
      </c>
      <c r="H249" s="15">
        <f>SUMIF([1]!Table35[Kode],[1]!Table1[[#This Row],[Kode]],[1]!Table35[Qty])</f>
        <v>0</v>
      </c>
      <c r="I249" s="16">
        <f>[1]!Table1[[#This Row],[Stock Awal]]+[1]!Table1[[#This Row],[Stok Masuk]]-[1]!Table1[[#This Row],[Stok Keluar]]</f>
        <v>5</v>
      </c>
    </row>
    <row r="250" spans="1:9" ht="17">
      <c r="A250" s="10" t="s">
        <v>527</v>
      </c>
      <c r="B250" s="11" t="s">
        <v>528</v>
      </c>
      <c r="C250" s="17">
        <v>36000</v>
      </c>
      <c r="D250" s="10" t="s">
        <v>12</v>
      </c>
      <c r="E250" s="10" t="s">
        <v>261</v>
      </c>
      <c r="F250" s="10"/>
      <c r="G250" s="15">
        <f>SUMIF([1]!Table3[Kode],[1]!Table1[[#This Row],[Kode]],[1]!Table3[Qty])</f>
        <v>5</v>
      </c>
      <c r="H250" s="15">
        <f>SUMIF([1]!Table35[Kode],[1]!Table1[[#This Row],[Kode]],[1]!Table35[Qty])</f>
        <v>0</v>
      </c>
      <c r="I250" s="16">
        <f>[1]!Table1[[#This Row],[Stock Awal]]+[1]!Table1[[#This Row],[Stok Masuk]]-[1]!Table1[[#This Row],[Stok Keluar]]</f>
        <v>5</v>
      </c>
    </row>
    <row r="251" spans="1:9" ht="17">
      <c r="A251" s="10" t="s">
        <v>529</v>
      </c>
      <c r="B251" s="11" t="s">
        <v>530</v>
      </c>
      <c r="C251" s="17">
        <v>30000</v>
      </c>
      <c r="D251" s="10" t="s">
        <v>531</v>
      </c>
      <c r="E251" s="10" t="s">
        <v>532</v>
      </c>
      <c r="F251" s="10"/>
      <c r="G251" s="15">
        <f>SUMIF([1]!Table3[Kode],[1]!Table1[[#This Row],[Kode]],[1]!Table3[Qty])</f>
        <v>5</v>
      </c>
      <c r="H251" s="15">
        <f>SUMIF([1]!Table35[Kode],[1]!Table1[[#This Row],[Kode]],[1]!Table35[Qty])</f>
        <v>0</v>
      </c>
      <c r="I251" s="16">
        <f>[1]!Table1[[#This Row],[Stock Awal]]+[1]!Table1[[#This Row],[Stok Masuk]]-[1]!Table1[[#This Row],[Stok Keluar]]</f>
        <v>5</v>
      </c>
    </row>
    <row r="252" spans="1:9" ht="17">
      <c r="A252" s="10" t="s">
        <v>533</v>
      </c>
      <c r="B252" s="11" t="s">
        <v>534</v>
      </c>
      <c r="C252" s="17">
        <v>30000</v>
      </c>
      <c r="D252" s="10" t="s">
        <v>531</v>
      </c>
      <c r="E252" s="10" t="s">
        <v>532</v>
      </c>
      <c r="F252" s="10"/>
      <c r="G252" s="15">
        <f>SUMIF([1]!Table3[Kode],[1]!Table1[[#This Row],[Kode]],[1]!Table3[Qty])</f>
        <v>5</v>
      </c>
      <c r="H252" s="15">
        <f>SUMIF([1]!Table35[Kode],[1]!Table1[[#This Row],[Kode]],[1]!Table35[Qty])</f>
        <v>0</v>
      </c>
      <c r="I252" s="16">
        <f>[1]!Table1[[#This Row],[Stock Awal]]+[1]!Table1[[#This Row],[Stok Masuk]]-[1]!Table1[[#This Row],[Stok Keluar]]</f>
        <v>5</v>
      </c>
    </row>
    <row r="253" spans="1:9" ht="17">
      <c r="A253" s="10" t="s">
        <v>535</v>
      </c>
      <c r="B253" s="11" t="s">
        <v>536</v>
      </c>
      <c r="C253" s="17">
        <v>30000</v>
      </c>
      <c r="D253" s="10" t="s">
        <v>531</v>
      </c>
      <c r="E253" s="10" t="s">
        <v>532</v>
      </c>
      <c r="F253" s="10"/>
      <c r="G253" s="15">
        <f>SUMIF([1]!Table3[Kode],[1]!Table1[[#This Row],[Kode]],[1]!Table3[Qty])</f>
        <v>5</v>
      </c>
      <c r="H253" s="15">
        <f>SUMIF([1]!Table35[Kode],[1]!Table1[[#This Row],[Kode]],[1]!Table35[Qty])</f>
        <v>0</v>
      </c>
      <c r="I253" s="16">
        <f>[1]!Table1[[#This Row],[Stock Awal]]+[1]!Table1[[#This Row],[Stok Masuk]]-[1]!Table1[[#This Row],[Stok Keluar]]</f>
        <v>5</v>
      </c>
    </row>
    <row r="254" spans="1:9" ht="34">
      <c r="A254" s="10" t="s">
        <v>537</v>
      </c>
      <c r="B254" s="11" t="s">
        <v>538</v>
      </c>
      <c r="C254" s="17">
        <v>48000</v>
      </c>
      <c r="D254" s="10" t="s">
        <v>539</v>
      </c>
      <c r="E254" s="10" t="s">
        <v>540</v>
      </c>
      <c r="F254" s="10"/>
      <c r="G254" s="15">
        <f>SUMIF([1]!Table3[Kode],[1]!Table1[[#This Row],[Kode]],[1]!Table3[Qty])</f>
        <v>5</v>
      </c>
      <c r="H254" s="15">
        <f>SUMIF([1]!Table35[Kode],[1]!Table1[[#This Row],[Kode]],[1]!Table35[Qty])</f>
        <v>2</v>
      </c>
      <c r="I254" s="16">
        <f>[1]!Table1[[#This Row],[Stock Awal]]+[1]!Table1[[#This Row],[Stok Masuk]]-[1]!Table1[[#This Row],[Stok Keluar]]</f>
        <v>3</v>
      </c>
    </row>
    <row r="255" spans="1:9" ht="34">
      <c r="A255" s="10" t="s">
        <v>541</v>
      </c>
      <c r="B255" s="11" t="s">
        <v>542</v>
      </c>
      <c r="C255" s="17">
        <v>48000</v>
      </c>
      <c r="D255" s="10" t="s">
        <v>539</v>
      </c>
      <c r="E255" s="10" t="s">
        <v>540</v>
      </c>
      <c r="F255" s="10"/>
      <c r="G255" s="15">
        <f>SUMIF([1]!Table3[Kode],[1]!Table1[[#This Row],[Kode]],[1]!Table3[Qty])</f>
        <v>5</v>
      </c>
      <c r="H255" s="15">
        <f>SUMIF([1]!Table35[Kode],[1]!Table1[[#This Row],[Kode]],[1]!Table35[Qty])</f>
        <v>0</v>
      </c>
      <c r="I255" s="16">
        <f>[1]!Table1[[#This Row],[Stock Awal]]+[1]!Table1[[#This Row],[Stok Masuk]]-[1]!Table1[[#This Row],[Stok Keluar]]</f>
        <v>5</v>
      </c>
    </row>
    <row r="256" spans="1:9" ht="17">
      <c r="A256" s="10" t="s">
        <v>543</v>
      </c>
      <c r="B256" s="11" t="s">
        <v>544</v>
      </c>
      <c r="C256" s="17">
        <v>42000</v>
      </c>
      <c r="D256" s="10" t="s">
        <v>96</v>
      </c>
      <c r="E256" s="10" t="s">
        <v>511</v>
      </c>
      <c r="F256" s="10"/>
      <c r="G256" s="15">
        <f>SUMIF([1]!Table3[Kode],[1]!Table1[[#This Row],[Kode]],[1]!Table3[Qty])</f>
        <v>3</v>
      </c>
      <c r="H256" s="15">
        <f>SUMIF([1]!Table35[Kode],[1]!Table1[[#This Row],[Kode]],[1]!Table35[Qty])</f>
        <v>1</v>
      </c>
      <c r="I256" s="16">
        <f>[1]!Table1[[#This Row],[Stock Awal]]+[1]!Table1[[#This Row],[Stok Masuk]]-[1]!Table1[[#This Row],[Stok Keluar]]</f>
        <v>2</v>
      </c>
    </row>
    <row r="257" spans="1:9" ht="34">
      <c r="A257" s="10" t="s">
        <v>545</v>
      </c>
      <c r="B257" s="11" t="s">
        <v>546</v>
      </c>
      <c r="C257" s="17">
        <v>28000</v>
      </c>
      <c r="D257" s="10" t="s">
        <v>96</v>
      </c>
      <c r="E257" s="10" t="s">
        <v>547</v>
      </c>
      <c r="F257" s="10"/>
      <c r="G257" s="15">
        <f>SUMIF([1]!Table3[Kode],[1]!Table1[[#This Row],[Kode]],[1]!Table3[Qty])</f>
        <v>10</v>
      </c>
      <c r="H257" s="15">
        <f>SUMIF([1]!Table35[Kode],[1]!Table1[[#This Row],[Kode]],[1]!Table35[Qty])</f>
        <v>0</v>
      </c>
      <c r="I257" s="16">
        <f>[1]!Table1[[#This Row],[Stock Awal]]+[1]!Table1[[#This Row],[Stok Masuk]]-[1]!Table1[[#This Row],[Stok Keluar]]</f>
        <v>10</v>
      </c>
    </row>
    <row r="258" spans="1:9" ht="17">
      <c r="A258" s="10" t="s">
        <v>548</v>
      </c>
      <c r="B258" s="11" t="s">
        <v>549</v>
      </c>
      <c r="C258" s="17">
        <v>27000</v>
      </c>
      <c r="D258" s="10" t="s">
        <v>12</v>
      </c>
      <c r="E258" s="10" t="s">
        <v>550</v>
      </c>
      <c r="F258" s="10"/>
      <c r="G258" s="15">
        <f>SUMIF([1]!Table3[Kode],[1]!Table1[[#This Row],[Kode]],[1]!Table3[Qty])</f>
        <v>5</v>
      </c>
      <c r="H258" s="15">
        <f>SUMIF([1]!Table35[Kode],[1]!Table1[[#This Row],[Kode]],[1]!Table35[Qty])</f>
        <v>0</v>
      </c>
      <c r="I258" s="16">
        <f>[1]!Table1[[#This Row],[Stock Awal]]+[1]!Table1[[#This Row],[Stok Masuk]]-[1]!Table1[[#This Row],[Stok Keluar]]</f>
        <v>5</v>
      </c>
    </row>
    <row r="259" spans="1:9" ht="17">
      <c r="A259" s="10" t="s">
        <v>551</v>
      </c>
      <c r="B259" s="11" t="s">
        <v>552</v>
      </c>
      <c r="C259" s="17">
        <v>27000</v>
      </c>
      <c r="D259" s="10" t="s">
        <v>12</v>
      </c>
      <c r="E259" s="10" t="s">
        <v>550</v>
      </c>
      <c r="F259" s="10"/>
      <c r="G259" s="15">
        <f>SUMIF([1]!Table3[Kode],[1]!Table1[[#This Row],[Kode]],[1]!Table3[Qty])</f>
        <v>5</v>
      </c>
      <c r="H259" s="15">
        <f>SUMIF([1]!Table35[Kode],[1]!Table1[[#This Row],[Kode]],[1]!Table35[Qty])</f>
        <v>0</v>
      </c>
      <c r="I259" s="16">
        <f>[1]!Table1[[#This Row],[Stock Awal]]+[1]!Table1[[#This Row],[Stok Masuk]]-[1]!Table1[[#This Row],[Stok Keluar]]</f>
        <v>5</v>
      </c>
    </row>
    <row r="260" spans="1:9" ht="34">
      <c r="A260" s="10" t="s">
        <v>553</v>
      </c>
      <c r="B260" s="11" t="s">
        <v>554</v>
      </c>
      <c r="C260" s="17">
        <v>27000</v>
      </c>
      <c r="D260" s="10" t="s">
        <v>12</v>
      </c>
      <c r="E260" s="10" t="s">
        <v>283</v>
      </c>
      <c r="F260" s="10"/>
      <c r="G260" s="15">
        <f>SUMIF([1]!Table3[Kode],[1]!Table1[[#This Row],[Kode]],[1]!Table3[Qty])</f>
        <v>5</v>
      </c>
      <c r="H260" s="15">
        <f>SUMIF([1]!Table35[Kode],[1]!Table1[[#This Row],[Kode]],[1]!Table35[Qty])</f>
        <v>1</v>
      </c>
      <c r="I260" s="16">
        <f>[1]!Table1[[#This Row],[Stock Awal]]+[1]!Table1[[#This Row],[Stok Masuk]]-[1]!Table1[[#This Row],[Stok Keluar]]</f>
        <v>4</v>
      </c>
    </row>
    <row r="261" spans="1:9" ht="34">
      <c r="A261" s="10" t="s">
        <v>555</v>
      </c>
      <c r="B261" s="11" t="s">
        <v>556</v>
      </c>
      <c r="C261" s="17">
        <v>27000</v>
      </c>
      <c r="D261" s="10" t="s">
        <v>12</v>
      </c>
      <c r="E261" s="10" t="s">
        <v>283</v>
      </c>
      <c r="F261" s="10"/>
      <c r="G261" s="15">
        <f>SUMIF([1]!Table3[Kode],[1]!Table1[[#This Row],[Kode]],[1]!Table3[Qty])</f>
        <v>5</v>
      </c>
      <c r="H261" s="15">
        <f>SUMIF([1]!Table35[Kode],[1]!Table1[[#This Row],[Kode]],[1]!Table35[Qty])</f>
        <v>2</v>
      </c>
      <c r="I261" s="16">
        <f>[1]!Table1[[#This Row],[Stock Awal]]+[1]!Table1[[#This Row],[Stok Masuk]]-[1]!Table1[[#This Row],[Stok Keluar]]</f>
        <v>3</v>
      </c>
    </row>
    <row r="262" spans="1:9" ht="17">
      <c r="A262" s="10" t="s">
        <v>557</v>
      </c>
      <c r="B262" s="11" t="s">
        <v>558</v>
      </c>
      <c r="C262" s="17">
        <v>48000</v>
      </c>
      <c r="D262" s="10" t="s">
        <v>96</v>
      </c>
      <c r="E262" s="10" t="s">
        <v>140</v>
      </c>
      <c r="F262" s="10"/>
      <c r="G262" s="15">
        <f>SUMIF([1]!Table3[Kode],[1]!Table1[[#This Row],[Kode]],[1]!Table3[Qty])</f>
        <v>20</v>
      </c>
      <c r="H262" s="15">
        <f>SUMIF([1]!Table35[Kode],[1]!Table1[[#This Row],[Kode]],[1]!Table35[Qty])</f>
        <v>1</v>
      </c>
      <c r="I262" s="16">
        <f>[1]!Table1[[#This Row],[Stock Awal]]+[1]!Table1[[#This Row],[Stok Masuk]]-[1]!Table1[[#This Row],[Stok Keluar]]</f>
        <v>19</v>
      </c>
    </row>
    <row r="263" spans="1:9" ht="17">
      <c r="A263" s="10" t="s">
        <v>559</v>
      </c>
      <c r="B263" s="11" t="s">
        <v>560</v>
      </c>
      <c r="C263" s="17">
        <v>48000</v>
      </c>
      <c r="D263" s="10" t="s">
        <v>561</v>
      </c>
      <c r="E263" s="10" t="s">
        <v>562</v>
      </c>
      <c r="F263" s="10"/>
      <c r="G263" s="15">
        <f>SUMIF([1]!Table3[Kode],[1]!Table1[[#This Row],[Kode]],[1]!Table3[Qty])</f>
        <v>5</v>
      </c>
      <c r="H263" s="15">
        <f>SUMIF([1]!Table35[Kode],[1]!Table1[[#This Row],[Kode]],[1]!Table35[Qty])</f>
        <v>0</v>
      </c>
      <c r="I263" s="16">
        <f>[1]!Table1[[#This Row],[Stock Awal]]+[1]!Table1[[#This Row],[Stok Masuk]]-[1]!Table1[[#This Row],[Stok Keluar]]</f>
        <v>5</v>
      </c>
    </row>
    <row r="264" spans="1:9" ht="17">
      <c r="A264" s="10" t="s">
        <v>563</v>
      </c>
      <c r="B264" s="11" t="s">
        <v>564</v>
      </c>
      <c r="C264" s="17">
        <v>48000</v>
      </c>
      <c r="D264" s="10" t="s">
        <v>561</v>
      </c>
      <c r="E264" s="10" t="s">
        <v>562</v>
      </c>
      <c r="F264" s="10"/>
      <c r="G264" s="15">
        <f>SUMIF([1]!Table3[Kode],[1]!Table1[[#This Row],[Kode]],[1]!Table3[Qty])</f>
        <v>5</v>
      </c>
      <c r="H264" s="15">
        <f>SUMIF([1]!Table35[Kode],[1]!Table1[[#This Row],[Kode]],[1]!Table35[Qty])</f>
        <v>1</v>
      </c>
      <c r="I264" s="16">
        <f>[1]!Table1[[#This Row],[Stock Awal]]+[1]!Table1[[#This Row],[Stok Masuk]]-[1]!Table1[[#This Row],[Stok Keluar]]</f>
        <v>4</v>
      </c>
    </row>
    <row r="265" spans="1:9" ht="17">
      <c r="A265" s="10" t="s">
        <v>565</v>
      </c>
      <c r="B265" s="11" t="s">
        <v>566</v>
      </c>
      <c r="C265" s="17">
        <v>48000</v>
      </c>
      <c r="D265" s="10" t="s">
        <v>561</v>
      </c>
      <c r="E265" s="10" t="s">
        <v>562</v>
      </c>
      <c r="F265" s="10"/>
      <c r="G265" s="15">
        <f>SUMIF([1]!Table3[Kode],[1]!Table1[[#This Row],[Kode]],[1]!Table3[Qty])</f>
        <v>5</v>
      </c>
      <c r="H265" s="15">
        <f>SUMIF([1]!Table35[Kode],[1]!Table1[[#This Row],[Kode]],[1]!Table35[Qty])</f>
        <v>0</v>
      </c>
      <c r="I265" s="16">
        <f>[1]!Table1[[#This Row],[Stock Awal]]+[1]!Table1[[#This Row],[Stok Masuk]]-[1]!Table1[[#This Row],[Stok Keluar]]</f>
        <v>5</v>
      </c>
    </row>
    <row r="266" spans="1:9" ht="17">
      <c r="A266" s="10" t="s">
        <v>567</v>
      </c>
      <c r="B266" s="11" t="s">
        <v>568</v>
      </c>
      <c r="C266" s="17">
        <v>35000</v>
      </c>
      <c r="D266" s="10" t="s">
        <v>12</v>
      </c>
      <c r="E266" s="10" t="s">
        <v>454</v>
      </c>
      <c r="F266" s="10"/>
      <c r="G266" s="15">
        <f>SUMIF([1]!Table3[Kode],[1]!Table1[[#This Row],[Kode]],[1]!Table3[Qty])</f>
        <v>5</v>
      </c>
      <c r="H266" s="15">
        <f>SUMIF([1]!Table35[Kode],[1]!Table1[[#This Row],[Kode]],[1]!Table35[Qty])</f>
        <v>0</v>
      </c>
      <c r="I266" s="16">
        <f>[1]!Table1[[#This Row],[Stock Awal]]+[1]!Table1[[#This Row],[Stok Masuk]]-[1]!Table1[[#This Row],[Stok Keluar]]</f>
        <v>5</v>
      </c>
    </row>
    <row r="267" spans="1:9" ht="34">
      <c r="A267" s="2" t="s">
        <v>569</v>
      </c>
      <c r="B267" s="3" t="s">
        <v>570</v>
      </c>
      <c r="C267" s="25">
        <v>35000</v>
      </c>
      <c r="D267" s="3" t="s">
        <v>12</v>
      </c>
      <c r="E267" s="3" t="s">
        <v>454</v>
      </c>
      <c r="F267" s="10"/>
      <c r="G267" s="15">
        <f>SUMIF([1]!Table3[Kode],[1]!Table1[[#This Row],[Kode]],[1]!Table3[Qty])</f>
        <v>5</v>
      </c>
      <c r="H267" s="15">
        <f>SUMIF([1]!Table35[Kode],[1]!Table1[[#This Row],[Kode]],[1]!Table35[Qty])</f>
        <v>0</v>
      </c>
      <c r="I267" s="16">
        <f>[1]!Table1[[#This Row],[Stock Awal]]+[1]!Table1[[#This Row],[Stok Masuk]]-[1]!Table1[[#This Row],[Stok Keluar]]</f>
        <v>5</v>
      </c>
    </row>
    <row r="268" spans="1:9" ht="34">
      <c r="A268" s="3" t="s">
        <v>571</v>
      </c>
      <c r="B268" s="11" t="s">
        <v>572</v>
      </c>
      <c r="C268" s="17">
        <v>28000</v>
      </c>
      <c r="D268" s="10" t="s">
        <v>12</v>
      </c>
      <c r="E268" s="10" t="s">
        <v>454</v>
      </c>
      <c r="F268" s="10"/>
      <c r="G268" s="15">
        <f>SUMIF([1]!Table3[Kode],[1]!Table1[[#This Row],[Kode]],[1]!Table3[Qty])</f>
        <v>10</v>
      </c>
      <c r="H268" s="15">
        <f>SUMIF([1]!Table35[Kode],[1]!Table1[[#This Row],[Kode]],[1]!Table35[Qty])</f>
        <v>0</v>
      </c>
      <c r="I268" s="16">
        <f>[1]!Table1[[#This Row],[Stock Awal]]+[1]!Table1[[#This Row],[Stok Masuk]]-[1]!Table1[[#This Row],[Stok Keluar]]</f>
        <v>10</v>
      </c>
    </row>
    <row r="269" spans="1:9" ht="34">
      <c r="A269" s="3" t="s">
        <v>573</v>
      </c>
      <c r="B269" s="24" t="s">
        <v>574</v>
      </c>
      <c r="C269" s="12">
        <v>25000</v>
      </c>
      <c r="D269" s="10" t="s">
        <v>12</v>
      </c>
      <c r="E269" s="10" t="s">
        <v>575</v>
      </c>
      <c r="F269" s="10"/>
      <c r="G269" s="15">
        <f>SUMIF([1]!Table3[Kode],[1]!Table1[[#This Row],[Kode]],[1]!Table3[Qty])</f>
        <v>5</v>
      </c>
      <c r="H269" s="15">
        <f>SUMIF([1]!Table35[Kode],[1]!Table1[[#This Row],[Kode]],[1]!Table35[Qty])</f>
        <v>1</v>
      </c>
      <c r="I269" s="16">
        <f>[1]!Table1[[#This Row],[Stock Awal]]+[1]!Table1[[#This Row],[Stok Masuk]]-[1]!Table1[[#This Row],[Stok Keluar]]</f>
        <v>4</v>
      </c>
    </row>
    <row r="270" spans="1:9" ht="17">
      <c r="A270" s="3" t="s">
        <v>576</v>
      </c>
      <c r="B270" s="24" t="s">
        <v>577</v>
      </c>
      <c r="C270" s="12">
        <v>32000</v>
      </c>
      <c r="D270" s="10" t="s">
        <v>96</v>
      </c>
      <c r="E270" s="10" t="s">
        <v>578</v>
      </c>
      <c r="F270" s="10"/>
      <c r="G270" s="15">
        <f>SUMIF([1]!Table3[Kode],[1]!Table1[[#This Row],[Kode]],[1]!Table3[Qty])</f>
        <v>5</v>
      </c>
      <c r="H270" s="15">
        <f>SUMIF([1]!Table35[Kode],[1]!Table1[[#This Row],[Kode]],[1]!Table35[Qty])</f>
        <v>1</v>
      </c>
      <c r="I270" s="16">
        <f>[1]!Table1[[#This Row],[Stock Awal]]+[1]!Table1[[#This Row],[Stok Masuk]]-[1]!Table1[[#This Row],[Stok Keluar]]</f>
        <v>4</v>
      </c>
    </row>
    <row r="271" spans="1:9" ht="17">
      <c r="A271" s="3" t="s">
        <v>579</v>
      </c>
      <c r="B271" s="24" t="s">
        <v>580</v>
      </c>
      <c r="C271" s="12">
        <v>25000</v>
      </c>
      <c r="D271" s="10" t="s">
        <v>539</v>
      </c>
      <c r="E271" s="10" t="s">
        <v>581</v>
      </c>
      <c r="F271" s="10"/>
      <c r="G271" s="15">
        <f>SUMIF([1]!Table3[Kode],[1]!Table1[[#This Row],[Kode]],[1]!Table3[Qty])</f>
        <v>5</v>
      </c>
      <c r="H271" s="15">
        <f>SUMIF([1]!Table35[Kode],[1]!Table1[[#This Row],[Kode]],[1]!Table35[Qty])</f>
        <v>1</v>
      </c>
      <c r="I271" s="16">
        <f>[1]!Table1[[#This Row],[Stock Awal]]+[1]!Table1[[#This Row],[Stok Masuk]]-[1]!Table1[[#This Row],[Stok Keluar]]</f>
        <v>4</v>
      </c>
    </row>
    <row r="272" spans="1:9" ht="17">
      <c r="A272" s="10" t="s">
        <v>582</v>
      </c>
      <c r="B272" s="11" t="s">
        <v>583</v>
      </c>
      <c r="C272" s="17">
        <v>28000</v>
      </c>
      <c r="D272" s="10" t="s">
        <v>12</v>
      </c>
      <c r="E272" s="10"/>
      <c r="F272" s="10"/>
      <c r="G272" s="15">
        <f>SUMIF([1]!Table3[Kode],[1]!Table1[[#This Row],[Kode]],[1]!Table3[Qty])</f>
        <v>10</v>
      </c>
      <c r="H272" s="15">
        <f>SUMIF([1]!Table35[Kode],[1]!Table1[[#This Row],[Kode]],[1]!Table35[Qty])</f>
        <v>0</v>
      </c>
      <c r="I272" s="16">
        <f>[1]!Table1[[#This Row],[Stock Awal]]+[1]!Table1[[#This Row],[Stok Masuk]]-[1]!Table1[[#This Row],[Stok Keluar]]</f>
        <v>10</v>
      </c>
    </row>
    <row r="273" spans="1:9" ht="17">
      <c r="A273" s="26" t="s">
        <v>584</v>
      </c>
      <c r="B273" s="27" t="s">
        <v>585</v>
      </c>
      <c r="C273" s="28">
        <v>38000</v>
      </c>
      <c r="D273" s="26" t="s">
        <v>586</v>
      </c>
      <c r="E273" s="26"/>
      <c r="F273" s="26"/>
      <c r="G273" s="29">
        <f>SUMIF([1]!Table3[Kode],[1]!Table1[[#This Row],[Kode]],[1]!Table3[Qty])</f>
        <v>2</v>
      </c>
      <c r="H273" s="29">
        <f>SUMIF([1]!Table35[Kode],[1]!Table1[[#This Row],[Kode]],[1]!Table35[Qty])</f>
        <v>1</v>
      </c>
      <c r="I273" s="30">
        <f>[1]!Table1[[#This Row],[Stock Awal]]+[1]!Table1[[#This Row],[Stok Masuk]]-[1]!Table1[[#This Row],[Stok Keluar]]</f>
        <v>1</v>
      </c>
    </row>
    <row r="274" spans="1:9" ht="17">
      <c r="A274" s="26" t="s">
        <v>587</v>
      </c>
      <c r="B274" s="27" t="s">
        <v>588</v>
      </c>
      <c r="C274" s="28">
        <v>38000</v>
      </c>
      <c r="D274" s="26" t="s">
        <v>586</v>
      </c>
      <c r="E274" s="26"/>
      <c r="F274" s="26"/>
      <c r="G274" s="29">
        <f>SUMIF([1]!Table3[Kode],[1]!Table1[[#This Row],[Kode]],[1]!Table3[Qty])</f>
        <v>2</v>
      </c>
      <c r="H274" s="29">
        <f>SUMIF([1]!Table35[Kode],[1]!Table1[[#This Row],[Kode]],[1]!Table35[Qty])</f>
        <v>1</v>
      </c>
      <c r="I274" s="30">
        <f>[1]!Table1[[#This Row],[Stock Awal]]+[1]!Table1[[#This Row],[Stok Masuk]]-[1]!Table1[[#This Row],[Stok Keluar]]</f>
        <v>1</v>
      </c>
    </row>
    <row r="275" spans="1:9" ht="17">
      <c r="A275" s="26" t="s">
        <v>589</v>
      </c>
      <c r="B275" s="27" t="s">
        <v>590</v>
      </c>
      <c r="C275" s="28">
        <v>38000</v>
      </c>
      <c r="D275" s="26" t="s">
        <v>586</v>
      </c>
      <c r="E275" s="26"/>
      <c r="F275" s="26"/>
      <c r="G275" s="29">
        <f>SUMIF([1]!Table3[Kode],[1]!Table1[[#This Row],[Kode]],[1]!Table3[Qty])</f>
        <v>2</v>
      </c>
      <c r="H275" s="29">
        <f>SUMIF([1]!Table35[Kode],[1]!Table1[[#This Row],[Kode]],[1]!Table35[Qty])</f>
        <v>1</v>
      </c>
      <c r="I275" s="30">
        <f>[1]!Table1[[#This Row],[Stock Awal]]+[1]!Table1[[#This Row],[Stok Masuk]]-[1]!Table1[[#This Row],[Stok Keluar]]</f>
        <v>1</v>
      </c>
    </row>
    <row r="276" spans="1:9" ht="17">
      <c r="A276" s="26" t="s">
        <v>591</v>
      </c>
      <c r="B276" s="27" t="s">
        <v>592</v>
      </c>
      <c r="C276" s="28">
        <v>45000</v>
      </c>
      <c r="D276" s="26" t="s">
        <v>593</v>
      </c>
      <c r="E276" s="26"/>
      <c r="F276" s="26"/>
      <c r="G276" s="29">
        <f>SUMIF([1]!Table3[Kode],[1]!Table1[[#This Row],[Kode]],[1]!Table3[Qty])</f>
        <v>5</v>
      </c>
      <c r="H276" s="29">
        <f>SUMIF([1]!Table35[Kode],[1]!Table1[[#This Row],[Kode]],[1]!Table35[Qty])</f>
        <v>0</v>
      </c>
      <c r="I276" s="30">
        <f>[1]!Table1[[#This Row],[Stock Awal]]+[1]!Table1[[#This Row],[Stok Masuk]]-[1]!Table1[[#This Row],[Stok Keluar]]</f>
        <v>5</v>
      </c>
    </row>
    <row r="277" spans="1:9" ht="34">
      <c r="A277" s="26" t="s">
        <v>594</v>
      </c>
      <c r="B277" s="27" t="s">
        <v>595</v>
      </c>
      <c r="C277" s="28">
        <v>48000</v>
      </c>
      <c r="D277" s="26" t="s">
        <v>586</v>
      </c>
      <c r="E277" s="26"/>
      <c r="F277" s="26"/>
      <c r="G277" s="29">
        <f>SUMIF([1]!Table3[Kode],[1]!Table1[[#This Row],[Kode]],[1]!Table3[Qty])</f>
        <v>3</v>
      </c>
      <c r="H277" s="29">
        <f>SUMIF([1]!Table35[Kode],[1]!Table1[[#This Row],[Kode]],[1]!Table35[Qty])</f>
        <v>-1</v>
      </c>
      <c r="I277" s="30">
        <f>[1]!Table1[[#This Row],[Stock Awal]]+[1]!Table1[[#This Row],[Stok Masuk]]-[1]!Table1[[#This Row],[Stok Keluar]]</f>
        <v>4</v>
      </c>
    </row>
    <row r="278" spans="1:9">
      <c r="A278" s="26" t="s">
        <v>596</v>
      </c>
      <c r="B278" s="27"/>
      <c r="C278" s="28"/>
      <c r="D278" s="26"/>
      <c r="E278" s="26"/>
      <c r="F278" s="26"/>
      <c r="G278" s="29">
        <f>SUMIF([1]!Table3[Kode],[1]!Table1[[#This Row],[Kode]],[1]!Table3[Qty])</f>
        <v>0</v>
      </c>
      <c r="H278" s="29">
        <f>SUMIF([1]!Table35[Kode],[1]!Table1[[#This Row],[Kode]],[1]!Table35[Qty])</f>
        <v>0</v>
      </c>
      <c r="I278" s="30">
        <f>[1]!Table1[[#This Row],[Stock Awal]]+[1]!Table1[[#This Row],[Stok Masuk]]-[1]!Table1[[#This Row],[Stok Keluar]]</f>
        <v>0</v>
      </c>
    </row>
    <row r="279" spans="1:9">
      <c r="A279" s="26" t="s">
        <v>597</v>
      </c>
      <c r="B279" s="27"/>
      <c r="C279" s="28"/>
      <c r="D279" s="26"/>
      <c r="E279" s="26"/>
      <c r="F279" s="26"/>
      <c r="G279" s="29">
        <f>SUMIF([1]!Table3[Kode],[1]!Table1[[#This Row],[Kode]],[1]!Table3[Qty])</f>
        <v>0</v>
      </c>
      <c r="H279" s="29">
        <f>SUMIF([1]!Table35[Kode],[1]!Table1[[#This Row],[Kode]],[1]!Table35[Qty])</f>
        <v>0</v>
      </c>
      <c r="I279" s="30">
        <f>[1]!Table1[[#This Row],[Stock Awal]]+[1]!Table1[[#This Row],[Stok Masuk]]-[1]!Table1[[#This Row],[Stok Keluar]]</f>
        <v>0</v>
      </c>
    </row>
    <row r="280" spans="1:9">
      <c r="A280" s="26" t="s">
        <v>598</v>
      </c>
      <c r="B280" s="27"/>
      <c r="C280" s="28"/>
      <c r="D280" s="26"/>
      <c r="E280" s="26"/>
      <c r="F280" s="26"/>
      <c r="G280" s="29">
        <f>SUMIF([1]!Table3[Kode],[1]!Table1[[#This Row],[Kode]],[1]!Table3[Qty])</f>
        <v>0</v>
      </c>
      <c r="H280" s="29">
        <f>SUMIF([1]!Table35[Kode],[1]!Table1[[#This Row],[Kode]],[1]!Table35[Qty])</f>
        <v>0</v>
      </c>
      <c r="I280" s="30">
        <f>[1]!Table1[[#This Row],[Stock Awal]]+[1]!Table1[[#This Row],[Stok Masuk]]-[1]!Table1[[#This Row],[Stok Keluar]]</f>
        <v>0</v>
      </c>
    </row>
    <row r="281" spans="1:9">
      <c r="A281" s="26" t="s">
        <v>599</v>
      </c>
      <c r="B281" s="27"/>
      <c r="C281" s="28"/>
      <c r="D281" s="26"/>
      <c r="E281" s="26"/>
      <c r="F281" s="26"/>
      <c r="G281" s="29">
        <f>SUMIF([1]!Table3[Kode],[1]!Table1[[#This Row],[Kode]],[1]!Table3[Qty])</f>
        <v>0</v>
      </c>
      <c r="H281" s="29">
        <f>SUMIF([1]!Table35[Kode],[1]!Table1[[#This Row],[Kode]],[1]!Table35[Qty])</f>
        <v>0</v>
      </c>
      <c r="I281" s="30">
        <f>[1]!Table1[[#This Row],[Stock Awal]]+[1]!Table1[[#This Row],[Stok Masuk]]-[1]!Table1[[#This Row],[Stok Keluar]]</f>
        <v>0</v>
      </c>
    </row>
    <row r="282" spans="1:9">
      <c r="A282" s="26" t="s">
        <v>600</v>
      </c>
      <c r="B282" s="27"/>
      <c r="C282" s="28"/>
      <c r="D282" s="26"/>
      <c r="E282" s="26"/>
      <c r="F282" s="26"/>
      <c r="G282" s="29">
        <f>SUMIF([1]!Table3[Kode],[1]!Table1[[#This Row],[Kode]],[1]!Table3[Qty])</f>
        <v>0</v>
      </c>
      <c r="H282" s="29">
        <f>SUMIF([1]!Table35[Kode],[1]!Table1[[#This Row],[Kode]],[1]!Table35[Qty])</f>
        <v>0</v>
      </c>
      <c r="I282" s="30">
        <f>[1]!Table1[[#This Row],[Stock Awal]]+[1]!Table1[[#This Row],[Stok Masuk]]-[1]!Table1[[#This Row],[Stok Keluar]]</f>
        <v>0</v>
      </c>
    </row>
    <row r="283" spans="1:9">
      <c r="A283" s="31" t="s">
        <v>601</v>
      </c>
      <c r="B283" s="32" t="s">
        <v>602</v>
      </c>
      <c r="C283" s="28">
        <v>38000</v>
      </c>
      <c r="D283" s="26"/>
      <c r="E283" s="26"/>
      <c r="F283" s="26"/>
      <c r="G283" s="29">
        <f>SUMIF([1]!Table3[Kode],[1]!Table1[[#This Row],[Kode]],[1]!Table3[Qty])</f>
        <v>2</v>
      </c>
      <c r="H283" s="29">
        <f>SUMIF([1]!Table35[Kode],[1]!Table1[[#This Row],[Kode]],[1]!Table35[Qty])</f>
        <v>1</v>
      </c>
      <c r="I283" s="30">
        <f>[1]!Table1[[#This Row],[Stock Awal]]+[1]!Table1[[#This Row],[Stok Masuk]]-[1]!Table1[[#This Row],[Stok Keluar]]</f>
        <v>1</v>
      </c>
    </row>
    <row r="284" spans="1:9">
      <c r="A284" s="31" t="s">
        <v>603</v>
      </c>
      <c r="B284" s="32" t="s">
        <v>604</v>
      </c>
      <c r="C284" s="28">
        <v>38000</v>
      </c>
      <c r="D284" s="26"/>
      <c r="E284" s="26"/>
      <c r="F284" s="26"/>
      <c r="G284" s="29">
        <f>SUMIF([1]!Table3[Kode],[1]!Table1[[#This Row],[Kode]],[1]!Table3[Qty])</f>
        <v>2</v>
      </c>
      <c r="H284" s="29">
        <f>SUMIF([1]!Table35[Kode],[1]!Table1[[#This Row],[Kode]],[1]!Table35[Qty])</f>
        <v>1</v>
      </c>
      <c r="I284" s="30">
        <f>[1]!Table1[[#This Row],[Stock Awal]]+[1]!Table1[[#This Row],[Stok Masuk]]-[1]!Table1[[#This Row],[Stok Keluar]]</f>
        <v>1</v>
      </c>
    </row>
    <row r="285" spans="1:9">
      <c r="A285" s="31" t="s">
        <v>605</v>
      </c>
      <c r="B285" s="32" t="s">
        <v>606</v>
      </c>
      <c r="C285" s="28">
        <v>38000</v>
      </c>
      <c r="D285" s="26"/>
      <c r="E285" s="26"/>
      <c r="F285" s="26"/>
      <c r="G285" s="29">
        <f>SUMIF([1]!Table3[Kode],[1]!Table1[[#This Row],[Kode]],[1]!Table3[Qty])</f>
        <v>2</v>
      </c>
      <c r="H285" s="29">
        <f>SUMIF([1]!Table35[Kode],[1]!Table1[[#This Row],[Kode]],[1]!Table35[Qty])</f>
        <v>0</v>
      </c>
      <c r="I285" s="30">
        <f>[1]!Table1[[#This Row],[Stock Awal]]+[1]!Table1[[#This Row],[Stok Masuk]]-[1]!Table1[[#This Row],[Stok Keluar]]</f>
        <v>2</v>
      </c>
    </row>
    <row r="286" spans="1:9" ht="34">
      <c r="A286" s="31" t="s">
        <v>607</v>
      </c>
      <c r="B286" s="33" t="s">
        <v>608</v>
      </c>
      <c r="C286" s="28">
        <v>27000</v>
      </c>
      <c r="D286" s="26"/>
      <c r="E286" s="26"/>
      <c r="F286" s="26"/>
      <c r="G286" s="29">
        <f>SUMIF([1]!Table3[Kode],[1]!Table1[[#This Row],[Kode]],[1]!Table3[Qty])</f>
        <v>3</v>
      </c>
      <c r="H286" s="29">
        <f>SUMIF([1]!Table35[Kode],[1]!Table1[[#This Row],[Kode]],[1]!Table35[Qty])</f>
        <v>0</v>
      </c>
      <c r="I286" s="30">
        <f>[1]!Table1[[#This Row],[Stock Awal]]+[1]!Table1[[#This Row],[Stok Masuk]]-[1]!Table1[[#This Row],[Stok Keluar]]</f>
        <v>3</v>
      </c>
    </row>
    <row r="287" spans="1:9" ht="34">
      <c r="A287" s="31" t="s">
        <v>609</v>
      </c>
      <c r="B287" s="33" t="s">
        <v>610</v>
      </c>
      <c r="C287" s="28">
        <v>27000</v>
      </c>
      <c r="D287" s="26"/>
      <c r="E287" s="26"/>
      <c r="F287" s="26"/>
      <c r="G287" s="29">
        <f>SUMIF([1]!Table3[Kode],[1]!Table1[[#This Row],[Kode]],[1]!Table3[Qty])</f>
        <v>3</v>
      </c>
      <c r="H287" s="29">
        <f>SUMIF([1]!Table35[Kode],[1]!Table1[[#This Row],[Kode]],[1]!Table35[Qty])</f>
        <v>-1</v>
      </c>
      <c r="I287" s="30">
        <f>[1]!Table1[[#This Row],[Stock Awal]]+[1]!Table1[[#This Row],[Stok Masuk]]-[1]!Table1[[#This Row],[Stok Keluar]]</f>
        <v>4</v>
      </c>
    </row>
    <row r="288" spans="1:9" ht="17">
      <c r="A288" s="26" t="s">
        <v>611</v>
      </c>
      <c r="B288" s="11" t="s">
        <v>612</v>
      </c>
      <c r="C288" s="28"/>
      <c r="D288" s="26"/>
      <c r="E288" s="26"/>
      <c r="F288" s="26"/>
      <c r="G288" s="29">
        <f>SUMIF([1]!Table3[Kode],[1]!Table1[[#This Row],[Kode]],[1]!Table3[Qty])</f>
        <v>5</v>
      </c>
      <c r="H288" s="29">
        <f>SUMIF([1]!Table35[Kode],[1]!Table1[[#This Row],[Kode]],[1]!Table35[Qty])</f>
        <v>0</v>
      </c>
      <c r="I288" s="30">
        <f>[1]!Table1[[#This Row],[Stock Awal]]+[1]!Table1[[#This Row],[Stok Masuk]]-[1]!Table1[[#This Row],[Stok Keluar]]</f>
        <v>5</v>
      </c>
    </row>
    <row r="289" spans="1:9" ht="34">
      <c r="A289" s="26" t="s">
        <v>613</v>
      </c>
      <c r="B289" s="11" t="s">
        <v>614</v>
      </c>
      <c r="C289" s="28"/>
      <c r="D289" s="26"/>
      <c r="E289" s="26"/>
      <c r="F289" s="26"/>
      <c r="G289" s="29">
        <f>SUMIF([1]!Table3[Kode],[1]!Table1[[#This Row],[Kode]],[1]!Table3[Qty])</f>
        <v>5</v>
      </c>
      <c r="H289" s="29">
        <f>SUMIF([1]!Table35[Kode],[1]!Table1[[#This Row],[Kode]],[1]!Table35[Qty])</f>
        <v>0</v>
      </c>
      <c r="I289" s="30">
        <f>[1]!Table1[[#This Row],[Stock Awal]]+[1]!Table1[[#This Row],[Stok Masuk]]-[1]!Table1[[#This Row],[Stok Keluar]]</f>
        <v>5</v>
      </c>
    </row>
    <row r="290" spans="1:9" ht="51">
      <c r="A290" s="26" t="s">
        <v>615</v>
      </c>
      <c r="B290" s="11" t="s">
        <v>616</v>
      </c>
      <c r="C290" s="28"/>
      <c r="D290" s="26"/>
      <c r="E290" s="26"/>
      <c r="F290" s="26"/>
      <c r="G290" s="29">
        <f>SUMIF([1]!Table3[Kode],[1]!Table1[[#This Row],[Kode]],[1]!Table3[Qty])</f>
        <v>5</v>
      </c>
      <c r="H290" s="29">
        <f>SUMIF([1]!Table35[Kode],[1]!Table1[[#This Row],[Kode]],[1]!Table35[Qty])</f>
        <v>0</v>
      </c>
      <c r="I290" s="30">
        <f>[1]!Table1[[#This Row],[Stock Awal]]+[1]!Table1[[#This Row],[Stok Masuk]]-[1]!Table1[[#This Row],[Stok Keluar]]</f>
        <v>5</v>
      </c>
    </row>
    <row r="291" spans="1:9" ht="19">
      <c r="A291" s="26" t="s">
        <v>617</v>
      </c>
      <c r="B291" s="34" t="s">
        <v>618</v>
      </c>
      <c r="C291" s="28"/>
      <c r="D291" s="26"/>
      <c r="E291" s="26"/>
      <c r="F291" s="26"/>
      <c r="G291" s="29">
        <f>SUMIF([1]!Table3[Kode],[1]!Table1[[#This Row],[Kode]],[1]!Table3[Qty])</f>
        <v>4</v>
      </c>
      <c r="H291" s="29">
        <f>SUMIF([1]!Table35[Kode],[1]!Table1[[#This Row],[Kode]],[1]!Table35[Qty])</f>
        <v>-1</v>
      </c>
      <c r="I291" s="30">
        <f>[1]!Table1[[#This Row],[Stock Awal]]+[1]!Table1[[#This Row],[Stok Masuk]]-[1]!Table1[[#This Row],[Stok Keluar]]</f>
        <v>5</v>
      </c>
    </row>
    <row r="292" spans="1:9" ht="19">
      <c r="A292" s="26" t="s">
        <v>619</v>
      </c>
      <c r="B292" s="34" t="s">
        <v>620</v>
      </c>
      <c r="C292" s="28"/>
      <c r="D292" s="26"/>
      <c r="E292" s="26"/>
      <c r="F292" s="26"/>
      <c r="G292" s="29">
        <f>SUMIF([1]!Table3[Kode],[1]!Table1[[#This Row],[Kode]],[1]!Table3[Qty])</f>
        <v>3</v>
      </c>
      <c r="H292" s="29">
        <f>SUMIF([1]!Table35[Kode],[1]!Table1[[#This Row],[Kode]],[1]!Table35[Qty])</f>
        <v>0</v>
      </c>
      <c r="I292" s="30">
        <f>[1]!Table1[[#This Row],[Stock Awal]]+[1]!Table1[[#This Row],[Stok Masuk]]-[1]!Table1[[#This Row],[Stok Keluar]]</f>
        <v>3</v>
      </c>
    </row>
    <row r="293" spans="1:9" ht="17">
      <c r="A293" s="26" t="s">
        <v>621</v>
      </c>
      <c r="B293" s="11" t="s">
        <v>622</v>
      </c>
      <c r="C293" s="28"/>
      <c r="D293" s="26"/>
      <c r="E293" s="26"/>
      <c r="F293" s="26"/>
      <c r="G293" s="29">
        <f>SUMIF([1]!Table3[Kode],[1]!Table1[[#This Row],[Kode]],[1]!Table3[Qty])</f>
        <v>3</v>
      </c>
      <c r="H293" s="29">
        <f>SUMIF([1]!Table35[Kode],[1]!Table1[[#This Row],[Kode]],[1]!Table35[Qty])</f>
        <v>0</v>
      </c>
      <c r="I293" s="30">
        <f>[1]!Table1[[#This Row],[Stock Awal]]+[1]!Table1[[#This Row],[Stok Masuk]]-[1]!Table1[[#This Row],[Stok Keluar]]</f>
        <v>3</v>
      </c>
    </row>
    <row r="294" spans="1:9">
      <c r="A294" s="26" t="s">
        <v>623</v>
      </c>
      <c r="B294" s="27"/>
      <c r="C294" s="28"/>
      <c r="D294" s="26"/>
      <c r="E294" s="26"/>
      <c r="F294" s="26"/>
      <c r="G294" s="29">
        <f>SUMIF([1]!Table3[Kode],[1]!Table1[[#This Row],[Kode]],[1]!Table3[Qty])</f>
        <v>0</v>
      </c>
      <c r="H294" s="29">
        <f>SUMIF([1]!Table35[Kode],[1]!Table1[[#This Row],[Kode]],[1]!Table35[Qty])</f>
        <v>0</v>
      </c>
      <c r="I294" s="30">
        <f>[1]!Table1[[#This Row],[Stock Awal]]+[1]!Table1[[#This Row],[Stok Masuk]]-[1]!Table1[[#This Row],[Stok Keluar]]</f>
        <v>0</v>
      </c>
    </row>
    <row r="295" spans="1:9">
      <c r="A295" s="26" t="s">
        <v>624</v>
      </c>
      <c r="B295" s="27"/>
      <c r="C295" s="28"/>
      <c r="D295" s="26"/>
      <c r="E295" s="26"/>
      <c r="F295" s="26"/>
      <c r="G295" s="29">
        <f>SUMIF([1]!Table3[Kode],[1]!Table1[[#This Row],[Kode]],[1]!Table3[Qty])</f>
        <v>0</v>
      </c>
      <c r="H295" s="29">
        <f>SUMIF([1]!Table35[Kode],[1]!Table1[[#This Row],[Kode]],[1]!Table35[Qty])</f>
        <v>0</v>
      </c>
      <c r="I295" s="30">
        <f>[1]!Table1[[#This Row],[Stock Awal]]+[1]!Table1[[#This Row],[Stok Masuk]]-[1]!Table1[[#This Row],[Stok Keluar]]</f>
        <v>0</v>
      </c>
    </row>
    <row r="296" spans="1:9" ht="34">
      <c r="A296" s="26" t="s">
        <v>625</v>
      </c>
      <c r="B296" s="27" t="s">
        <v>626</v>
      </c>
      <c r="C296" s="28">
        <v>70000</v>
      </c>
      <c r="D296" s="26" t="s">
        <v>627</v>
      </c>
      <c r="E296" s="26"/>
      <c r="F296" s="26"/>
      <c r="G296" s="35">
        <f>SUMIF([1]!Table3[Kode],[1]!Table1[[#This Row],[Kode]],[1]!Table3[Qty])</f>
        <v>10</v>
      </c>
      <c r="H296" s="35">
        <f>SUMIF([1]!Table35[Kode],[1]!Table1[[#This Row],[Kode]],[1]!Table35[Qty])</f>
        <v>6</v>
      </c>
      <c r="I296" s="36">
        <f>[1]!Table1[[#This Row],[Stock Awal]]+[1]!Table1[[#This Row],[Stok Masuk]]-[1]!Table1[[#This Row],[Stok Keluar]]</f>
        <v>4</v>
      </c>
    </row>
    <row r="297" spans="1:9" ht="17">
      <c r="A297" s="26" t="s">
        <v>628</v>
      </c>
      <c r="B297" s="27" t="s">
        <v>629</v>
      </c>
      <c r="C297" s="28">
        <v>30000</v>
      </c>
      <c r="D297" s="26" t="s">
        <v>630</v>
      </c>
      <c r="E297" s="26"/>
      <c r="F297" s="26"/>
      <c r="G297" s="35">
        <f>SUMIF([1]!Table3[Kode],[1]!Table1[[#This Row],[Kode]],[1]!Table3[Qty])</f>
        <v>3</v>
      </c>
      <c r="H297" s="35">
        <f>SUMIF([1]!Table35[Kode],[1]!Table1[[#This Row],[Kode]],[1]!Table35[Qty])</f>
        <v>3</v>
      </c>
      <c r="I297" s="36">
        <f>[1]!Table1[[#This Row],[Stock Awal]]+[1]!Table1[[#This Row],[Stok Masuk]]-[1]!Table1[[#This Row],[Stok Keluar]]</f>
        <v>0</v>
      </c>
    </row>
    <row r="298" spans="1:9" ht="17">
      <c r="A298" s="26" t="s">
        <v>631</v>
      </c>
      <c r="B298" s="27" t="s">
        <v>632</v>
      </c>
      <c r="C298" s="28">
        <v>30000</v>
      </c>
      <c r="D298" s="26" t="s">
        <v>630</v>
      </c>
      <c r="E298" s="26"/>
      <c r="F298" s="26"/>
      <c r="G298" s="35">
        <f>SUMIF([1]!Table3[Kode],[1]!Table1[[#This Row],[Kode]],[1]!Table3[Qty])</f>
        <v>2</v>
      </c>
      <c r="H298" s="35">
        <f>SUMIF([1]!Table35[Kode],[1]!Table1[[#This Row],[Kode]],[1]!Table35[Qty])</f>
        <v>2</v>
      </c>
      <c r="I298" s="36">
        <f>[1]!Table1[[#This Row],[Stock Awal]]+[1]!Table1[[#This Row],[Stok Masuk]]-[1]!Table1[[#This Row],[Stok Keluar]]</f>
        <v>0</v>
      </c>
    </row>
    <row r="299" spans="1:9" ht="17">
      <c r="A299" s="26" t="s">
        <v>633</v>
      </c>
      <c r="B299" s="27" t="s">
        <v>634</v>
      </c>
      <c r="C299" s="28">
        <v>120000</v>
      </c>
      <c r="D299" s="26" t="s">
        <v>635</v>
      </c>
      <c r="E299" s="26"/>
      <c r="F299" s="26">
        <v>1</v>
      </c>
      <c r="G299" s="35">
        <f>SUMIF([1]!Table3[Kode],[1]!Table1[[#This Row],[Kode]],[1]!Table3[Qty])</f>
        <v>0</v>
      </c>
      <c r="H299" s="35">
        <f>SUMIF([1]!Table35[Kode],[1]!Table1[[#This Row],[Kode]],[1]!Table35[Qty])</f>
        <v>-7</v>
      </c>
      <c r="I299" s="36">
        <f>[1]!Table1[[#This Row],[Stock Awal]]+[1]!Table1[[#This Row],[Stok Masuk]]-[1]!Table1[[#This Row],[Stok Keluar]]</f>
        <v>8</v>
      </c>
    </row>
    <row r="300" spans="1:9" ht="17">
      <c r="A300" s="26" t="s">
        <v>636</v>
      </c>
      <c r="B300" s="27" t="s">
        <v>637</v>
      </c>
      <c r="C300" s="12">
        <v>27000</v>
      </c>
      <c r="D300" s="10" t="s">
        <v>12</v>
      </c>
      <c r="E300" s="10" t="s">
        <v>13</v>
      </c>
      <c r="F300" s="26"/>
      <c r="G300" s="35">
        <f>SUMIF([1]!Table3[Kode],[1]!Table1[[#This Row],[Kode]],[1]!Table3[Qty])</f>
        <v>5</v>
      </c>
      <c r="H300" s="35">
        <f>SUMIF([1]!Table35[Kode],[1]!Table1[[#This Row],[Kode]],[1]!Table35[Qty])</f>
        <v>5</v>
      </c>
      <c r="I300" s="36">
        <f>[1]!Table1[[#This Row],[Stock Awal]]+[1]!Table1[[#This Row],[Stok Masuk]]-[1]!Table1[[#This Row],[Stok Keluar]]</f>
        <v>0</v>
      </c>
    </row>
    <row r="301" spans="1:9" ht="17">
      <c r="A301" s="26" t="s">
        <v>638</v>
      </c>
      <c r="B301" s="27" t="s">
        <v>639</v>
      </c>
      <c r="C301" s="12">
        <v>26000</v>
      </c>
      <c r="D301" s="10"/>
      <c r="E301" s="10"/>
      <c r="F301" s="26"/>
      <c r="G301" s="35">
        <f>SUMIF([1]!Table3[Kode],[1]!Table1[[#This Row],[Kode]],[1]!Table3[Qty])</f>
        <v>0</v>
      </c>
      <c r="H301" s="35">
        <f>SUMIF([1]!Table35[Kode],[1]!Table1[[#This Row],[Kode]],[1]!Table35[Qty])</f>
        <v>-11</v>
      </c>
      <c r="I301" s="36">
        <f>[1]!Table1[[#This Row],[Stock Awal]]+[1]!Table1[[#This Row],[Stok Masuk]]-[1]!Table1[[#This Row],[Stok Keluar]]</f>
        <v>11</v>
      </c>
    </row>
    <row r="302" spans="1:9" ht="34">
      <c r="A302" s="26" t="s">
        <v>640</v>
      </c>
      <c r="B302" s="27" t="s">
        <v>641</v>
      </c>
      <c r="C302" s="12"/>
      <c r="D302" s="10"/>
      <c r="E302" s="10"/>
      <c r="F302" s="26"/>
      <c r="G302" s="35">
        <f>SUMIF([1]!Table3[Kode],[1]!Table1[[#This Row],[Kode]],[1]!Table3[Qty])</f>
        <v>1</v>
      </c>
      <c r="H302" s="35">
        <f>SUMIF([1]!Table35[Kode],[1]!Table1[[#This Row],[Kode]],[1]!Table35[Qty])</f>
        <v>1</v>
      </c>
      <c r="I302" s="36">
        <f>[1]!Table1[[#This Row],[Stock Awal]]+[1]!Table1[[#This Row],[Stok Masuk]]-[1]!Table1[[#This Row],[Stok Keluar]]</f>
        <v>0</v>
      </c>
    </row>
    <row r="303" spans="1:9" ht="34">
      <c r="A303" s="26" t="s">
        <v>642</v>
      </c>
      <c r="B303" s="27" t="s">
        <v>643</v>
      </c>
      <c r="C303" s="12"/>
      <c r="D303" s="10"/>
      <c r="E303" s="10"/>
      <c r="F303" s="26"/>
      <c r="G303" s="35">
        <f>SUMIF([1]!Table3[Kode],[1]!Table1[[#This Row],[Kode]],[1]!Table3[Qty])</f>
        <v>1</v>
      </c>
      <c r="H303" s="35">
        <f>SUMIF([1]!Table35[Kode],[1]!Table1[[#This Row],[Kode]],[1]!Table35[Qty])</f>
        <v>1</v>
      </c>
      <c r="I303" s="36">
        <f>[1]!Table1[[#This Row],[Stock Awal]]+[1]!Table1[[#This Row],[Stok Masuk]]-[1]!Table1[[#This Row],[Stok Keluar]]</f>
        <v>0</v>
      </c>
    </row>
    <row r="304" spans="1:9" ht="34">
      <c r="A304" s="26" t="s">
        <v>644</v>
      </c>
      <c r="B304" s="27" t="s">
        <v>645</v>
      </c>
      <c r="C304" s="12"/>
      <c r="D304" s="10"/>
      <c r="E304" s="10"/>
      <c r="F304" s="26"/>
      <c r="G304" s="35">
        <f>SUMIF([1]!Table3[Kode],[1]!Table1[[#This Row],[Kode]],[1]!Table3[Qty])</f>
        <v>5</v>
      </c>
      <c r="H304" s="35">
        <f>SUMIF([1]!Table35[Kode],[1]!Table1[[#This Row],[Kode]],[1]!Table35[Qty])</f>
        <v>0</v>
      </c>
      <c r="I304" s="36">
        <f>[1]!Table1[[#This Row],[Stock Awal]]+[1]!Table1[[#This Row],[Stok Masuk]]-[1]!Table1[[#This Row],[Stok Keluar]]</f>
        <v>5</v>
      </c>
    </row>
    <row r="305" spans="1:9" ht="34">
      <c r="A305" s="26" t="s">
        <v>646</v>
      </c>
      <c r="B305" s="27" t="s">
        <v>647</v>
      </c>
      <c r="C305" s="12"/>
      <c r="D305" s="10"/>
      <c r="E305" s="10"/>
      <c r="F305" s="26"/>
      <c r="G305" s="35">
        <f>SUMIF([1]!Table3[Kode],[1]!Table1[[#This Row],[Kode]],[1]!Table3[Qty])</f>
        <v>5</v>
      </c>
      <c r="H305" s="35">
        <f>SUMIF([1]!Table35[Kode],[1]!Table1[[#This Row],[Kode]],[1]!Table35[Qty])</f>
        <v>0</v>
      </c>
      <c r="I305" s="36">
        <f>[1]!Table1[[#This Row],[Stock Awal]]+[1]!Table1[[#This Row],[Stok Masuk]]-[1]!Table1[[#This Row],[Stok Keluar]]</f>
        <v>5</v>
      </c>
    </row>
    <row r="306" spans="1:9" ht="17">
      <c r="A306" s="19" t="s">
        <v>648</v>
      </c>
      <c r="B306" s="37" t="s">
        <v>649</v>
      </c>
      <c r="C306" s="18">
        <v>18000</v>
      </c>
      <c r="D306" s="19" t="s">
        <v>650</v>
      </c>
      <c r="E306" s="19"/>
      <c r="F306" s="19"/>
      <c r="G306" s="38">
        <f>SUMIF([1]!Table3[Kode],[1]!Table1[[#This Row],[Kode]],[1]!Table3[Qty])</f>
        <v>40</v>
      </c>
      <c r="H306" s="38">
        <f>SUMIF([1]!Table35[Kode],[1]!Table1[[#This Row],[Kode]],[1]!Table35[Qty])</f>
        <v>30</v>
      </c>
      <c r="I306" s="39">
        <f>[1]!Table1[[#This Row],[Stock Awal]]+[1]!Table1[[#This Row],[Stok Masuk]]-[1]!Table1[[#This Row],[Stok Keluar]]</f>
        <v>10</v>
      </c>
    </row>
    <row r="307" spans="1:9" ht="17">
      <c r="A307" s="10" t="s">
        <v>651</v>
      </c>
      <c r="B307" s="11" t="s">
        <v>652</v>
      </c>
      <c r="C307" s="12">
        <v>20000</v>
      </c>
      <c r="D307" s="10" t="s">
        <v>653</v>
      </c>
      <c r="E307" s="10"/>
      <c r="F307" s="10"/>
      <c r="G307" s="13">
        <f>SUMIF([1]!Table3[Kode],[1]!Table1[[#This Row],[Kode]],[1]!Table3[Qty])</f>
        <v>10</v>
      </c>
      <c r="H307" s="13">
        <f>SUMIF([1]!Table35[Kode],[1]!Table1[[#This Row],[Kode]],[1]!Table35[Qty])</f>
        <v>5</v>
      </c>
      <c r="I307" s="14">
        <f>[1]!Table1[[#This Row],[Stock Awal]]+[1]!Table1[[#This Row],[Stok Masuk]]-[1]!Table1[[#This Row],[Stok Keluar]]</f>
        <v>5</v>
      </c>
    </row>
    <row r="308" spans="1:9" ht="34">
      <c r="A308" s="3" t="s">
        <v>654</v>
      </c>
      <c r="B308" s="11" t="s">
        <v>655</v>
      </c>
      <c r="C308" s="12">
        <v>22000</v>
      </c>
      <c r="D308" s="10" t="s">
        <v>656</v>
      </c>
      <c r="E308" s="10" t="s">
        <v>657</v>
      </c>
      <c r="F308" s="10"/>
      <c r="G308" s="13">
        <f>SUMIF([1]!Table3[Kode],[1]!Table1[[#This Row],[Kode]],[1]!Table3[Qty])</f>
        <v>20</v>
      </c>
      <c r="H308" s="13">
        <f>SUMIF([1]!Table35[Kode],[1]!Table1[[#This Row],[Kode]],[1]!Table35[Qty])</f>
        <v>10</v>
      </c>
      <c r="I308" s="14">
        <f>[1]!Table1[[#This Row],[Stock Awal]]+[1]!Table1[[#This Row],[Stok Masuk]]-[1]!Table1[[#This Row],[Stok Keluar]]</f>
        <v>10</v>
      </c>
    </row>
    <row r="309" spans="1:9" ht="34">
      <c r="A309" s="3" t="s">
        <v>658</v>
      </c>
      <c r="B309" s="11" t="s">
        <v>659</v>
      </c>
      <c r="C309" s="12">
        <v>22000</v>
      </c>
      <c r="D309" s="10" t="s">
        <v>656</v>
      </c>
      <c r="E309" s="10" t="s">
        <v>657</v>
      </c>
      <c r="F309" s="10"/>
      <c r="G309" s="13">
        <f>SUMIF([1]!Table3[Kode],[1]!Table1[[#This Row],[Kode]],[1]!Table3[Qty])</f>
        <v>20</v>
      </c>
      <c r="H309" s="13">
        <f>SUMIF([1]!Table35[Kode],[1]!Table1[[#This Row],[Kode]],[1]!Table35[Qty])</f>
        <v>16</v>
      </c>
      <c r="I309" s="14">
        <f>[1]!Table1[[#This Row],[Stock Awal]]+[1]!Table1[[#This Row],[Stok Masuk]]-[1]!Table1[[#This Row],[Stok Keluar]]</f>
        <v>4</v>
      </c>
    </row>
    <row r="310" spans="1:9" ht="17">
      <c r="A310" s="10" t="s">
        <v>660</v>
      </c>
      <c r="B310" s="11" t="s">
        <v>661</v>
      </c>
      <c r="C310" s="12">
        <v>17500</v>
      </c>
      <c r="D310" s="10" t="s">
        <v>662</v>
      </c>
      <c r="E310" s="10" t="s">
        <v>663</v>
      </c>
      <c r="F310" s="10">
        <v>1</v>
      </c>
      <c r="G310" s="13">
        <f>SUMIF([1]!Table3[Kode],[1]!Table1[[#This Row],[Kode]],[1]!Table3[Qty])</f>
        <v>68</v>
      </c>
      <c r="H310" s="13">
        <f>SUMIF([1]!Table35[Kode],[1]!Table1[[#This Row],[Kode]],[1]!Table35[Qty])</f>
        <v>24</v>
      </c>
      <c r="I310" s="14">
        <f>[1]!Table1[[#This Row],[Stock Awal]]+[1]!Table1[[#This Row],[Stok Masuk]]-[1]!Table1[[#This Row],[Stok Keluar]]</f>
        <v>45</v>
      </c>
    </row>
    <row r="311" spans="1:9" ht="17">
      <c r="A311" s="10" t="s">
        <v>664</v>
      </c>
      <c r="B311" s="11" t="s">
        <v>665</v>
      </c>
      <c r="C311" s="12">
        <v>17500</v>
      </c>
      <c r="D311" s="10" t="s">
        <v>662</v>
      </c>
      <c r="E311" s="10" t="s">
        <v>663</v>
      </c>
      <c r="F311" s="10"/>
      <c r="G311" s="13">
        <f>SUMIF([1]!Table3[Kode],[1]!Table1[[#This Row],[Kode]],[1]!Table3[Qty])</f>
        <v>23</v>
      </c>
      <c r="H311" s="13">
        <f>SUMIF([1]!Table35[Kode],[1]!Table1[[#This Row],[Kode]],[1]!Table35[Qty])</f>
        <v>6</v>
      </c>
      <c r="I311" s="14">
        <f>[1]!Table1[[#This Row],[Stock Awal]]+[1]!Table1[[#This Row],[Stok Masuk]]-[1]!Table1[[#This Row],[Stok Keluar]]</f>
        <v>17</v>
      </c>
    </row>
    <row r="312" spans="1:9" ht="17">
      <c r="A312" s="10" t="s">
        <v>666</v>
      </c>
      <c r="B312" s="11" t="s">
        <v>667</v>
      </c>
      <c r="C312" s="12">
        <v>17500</v>
      </c>
      <c r="D312" s="10" t="s">
        <v>662</v>
      </c>
      <c r="E312" s="10" t="s">
        <v>663</v>
      </c>
      <c r="F312" s="10">
        <v>5</v>
      </c>
      <c r="G312" s="13">
        <f>SUMIF([1]!Table3[Kode],[1]!Table1[[#This Row],[Kode]],[1]!Table3[Qty])</f>
        <v>33</v>
      </c>
      <c r="H312" s="13">
        <f>SUMIF([1]!Table35[Kode],[1]!Table1[[#This Row],[Kode]],[1]!Table35[Qty])</f>
        <v>24</v>
      </c>
      <c r="I312" s="14">
        <f>[1]!Table1[[#This Row],[Stock Awal]]+[1]!Table1[[#This Row],[Stok Masuk]]-[1]!Table1[[#This Row],[Stok Keluar]]</f>
        <v>14</v>
      </c>
    </row>
    <row r="313" spans="1:9" ht="17">
      <c r="A313" s="10" t="s">
        <v>668</v>
      </c>
      <c r="B313" s="11" t="s">
        <v>669</v>
      </c>
      <c r="C313" s="12">
        <v>17500</v>
      </c>
      <c r="D313" s="10" t="s">
        <v>662</v>
      </c>
      <c r="E313" s="10" t="s">
        <v>663</v>
      </c>
      <c r="F313" s="10">
        <v>2</v>
      </c>
      <c r="G313" s="13">
        <f>SUMIF([1]!Table3[Kode],[1]!Table1[[#This Row],[Kode]],[1]!Table3[Qty])</f>
        <v>13</v>
      </c>
      <c r="H313" s="13">
        <f>SUMIF([1]!Table35[Kode],[1]!Table1[[#This Row],[Kode]],[1]!Table35[Qty])</f>
        <v>11</v>
      </c>
      <c r="I313" s="14">
        <f>[1]!Table1[[#This Row],[Stock Awal]]+[1]!Table1[[#This Row],[Stok Masuk]]-[1]!Table1[[#This Row],[Stok Keluar]]</f>
        <v>4</v>
      </c>
    </row>
    <row r="314" spans="1:9" ht="17">
      <c r="A314" s="10" t="s">
        <v>670</v>
      </c>
      <c r="B314" s="11" t="s">
        <v>671</v>
      </c>
      <c r="C314" s="12">
        <v>17500</v>
      </c>
      <c r="D314" s="10" t="s">
        <v>662</v>
      </c>
      <c r="E314" s="10" t="s">
        <v>663</v>
      </c>
      <c r="F314" s="10">
        <v>2</v>
      </c>
      <c r="G314" s="13">
        <f>SUMIF([1]!Table3[Kode],[1]!Table1[[#This Row],[Kode]],[1]!Table3[Qty])</f>
        <v>25</v>
      </c>
      <c r="H314" s="13">
        <f>SUMIF([1]!Table35[Kode],[1]!Table1[[#This Row],[Kode]],[1]!Table35[Qty])</f>
        <v>17</v>
      </c>
      <c r="I314" s="14">
        <f>[1]!Table1[[#This Row],[Stock Awal]]+[1]!Table1[[#This Row],[Stok Masuk]]-[1]!Table1[[#This Row],[Stok Keluar]]</f>
        <v>10</v>
      </c>
    </row>
    <row r="315" spans="1:9" ht="17">
      <c r="A315" s="10" t="s">
        <v>672</v>
      </c>
      <c r="B315" s="11" t="s">
        <v>673</v>
      </c>
      <c r="C315" s="12">
        <v>17500</v>
      </c>
      <c r="D315" s="10"/>
      <c r="E315" s="10"/>
      <c r="F315" s="10"/>
      <c r="G315" s="13">
        <f>SUMIF([1]!Table3[Kode],[1]!Table1[[#This Row],[Kode]],[1]!Table3[Qty])</f>
        <v>0</v>
      </c>
      <c r="H315" s="13">
        <f>SUMIF([1]!Table35[Kode],[1]!Table1[[#This Row],[Kode]],[1]!Table35[Qty])</f>
        <v>-3</v>
      </c>
      <c r="I315" s="14">
        <f>[1]!Table1[[#This Row],[Stock Awal]]+[1]!Table1[[#This Row],[Stok Masuk]]-[1]!Table1[[#This Row],[Stok Keluar]]</f>
        <v>3</v>
      </c>
    </row>
    <row r="316" spans="1:9" ht="17">
      <c r="A316" s="10" t="s">
        <v>674</v>
      </c>
      <c r="B316" s="11" t="s">
        <v>675</v>
      </c>
      <c r="C316" s="12">
        <v>17500</v>
      </c>
      <c r="D316" s="10"/>
      <c r="E316" s="10"/>
      <c r="F316" s="10"/>
      <c r="G316" s="13">
        <f>SUMIF([1]!Table3[Kode],[1]!Table1[[#This Row],[Kode]],[1]!Table3[Qty])</f>
        <v>0</v>
      </c>
      <c r="H316" s="13">
        <f>SUMIF([1]!Table35[Kode],[1]!Table1[[#This Row],[Kode]],[1]!Table35[Qty])</f>
        <v>-6</v>
      </c>
      <c r="I316" s="14">
        <f>[1]!Table1[[#This Row],[Stock Awal]]+[1]!Table1[[#This Row],[Stok Masuk]]-[1]!Table1[[#This Row],[Stok Keluar]]</f>
        <v>6</v>
      </c>
    </row>
    <row r="317" spans="1:9" ht="17">
      <c r="A317" s="10" t="s">
        <v>676</v>
      </c>
      <c r="B317" s="11" t="s">
        <v>677</v>
      </c>
      <c r="C317" s="12">
        <v>15000</v>
      </c>
      <c r="D317" s="10" t="s">
        <v>678</v>
      </c>
      <c r="E317" s="10" t="s">
        <v>678</v>
      </c>
      <c r="F317" s="10"/>
      <c r="G317" s="13">
        <f>SUMIF([1]!Table3[Kode],[1]!Table1[[#This Row],[Kode]],[1]!Table3[Qty])</f>
        <v>30</v>
      </c>
      <c r="H317" s="13">
        <f>SUMIF([1]!Table35[Kode],[1]!Table1[[#This Row],[Kode]],[1]!Table35[Qty])</f>
        <v>16</v>
      </c>
      <c r="I317" s="14">
        <f>[1]!Table1[[#This Row],[Stock Awal]]+[1]!Table1[[#This Row],[Stok Masuk]]-[1]!Table1[[#This Row],[Stok Keluar]]</f>
        <v>14</v>
      </c>
    </row>
    <row r="318" spans="1:9" ht="17">
      <c r="A318" s="10" t="s">
        <v>679</v>
      </c>
      <c r="B318" s="11" t="s">
        <v>680</v>
      </c>
      <c r="C318" s="12">
        <v>14000</v>
      </c>
      <c r="D318" s="10" t="s">
        <v>681</v>
      </c>
      <c r="E318" s="10"/>
      <c r="F318" s="10">
        <v>16</v>
      </c>
      <c r="G318" s="13">
        <v>20</v>
      </c>
      <c r="H318" s="13">
        <f>SUMIF([1]!Table35[Kode],[1]!Table1[[#This Row],[Kode]],[1]!Table35[Qty])</f>
        <v>10</v>
      </c>
      <c r="I318" s="14">
        <f>[1]!Table1[[#This Row],[Stock Awal]]+[1]!Table1[[#This Row],[Stok Masuk]]-[1]!Table1[[#This Row],[Stok Keluar]]</f>
        <v>26</v>
      </c>
    </row>
    <row r="319" spans="1:9" ht="17">
      <c r="A319" s="10" t="s">
        <v>682</v>
      </c>
      <c r="B319" s="11" t="s">
        <v>683</v>
      </c>
      <c r="C319" s="12">
        <v>14000</v>
      </c>
      <c r="D319" s="10" t="s">
        <v>681</v>
      </c>
      <c r="E319" s="10">
        <v>1</v>
      </c>
      <c r="F319" s="10">
        <v>20</v>
      </c>
      <c r="G319" s="13">
        <f>SUMIF([1]!Table3[Kode],[1]!Table1[[#This Row],[Kode]],[1]!Table3[Qty])</f>
        <v>40</v>
      </c>
      <c r="H319" s="13">
        <f>SUMIF([1]!Table35[Kode],[1]!Table1[[#This Row],[Kode]],[1]!Table35[Qty])</f>
        <v>42</v>
      </c>
      <c r="I319" s="14">
        <f>[1]!Table1[[#This Row],[Stock Awal]]+[1]!Table1[[#This Row],[Stok Masuk]]-[1]!Table1[[#This Row],[Stok Keluar]]</f>
        <v>18</v>
      </c>
    </row>
    <row r="320" spans="1:9" ht="17">
      <c r="A320" s="10" t="s">
        <v>684</v>
      </c>
      <c r="B320" s="11" t="s">
        <v>685</v>
      </c>
      <c r="C320" s="12">
        <v>14000</v>
      </c>
      <c r="D320" s="10" t="s">
        <v>681</v>
      </c>
      <c r="E320" s="10"/>
      <c r="F320" s="10"/>
      <c r="G320" s="13">
        <f>SUMIF([1]!Table3[Kode],[1]!Table1[[#This Row],[Kode]],[1]!Table3[Qty])</f>
        <v>10</v>
      </c>
      <c r="H320" s="13">
        <f>SUMIF([1]!Table35[Kode],[1]!Table1[[#This Row],[Kode]],[1]!Table35[Qty])</f>
        <v>9</v>
      </c>
      <c r="I320" s="14">
        <f>[1]!Table1[[#This Row],[Stock Awal]]+[1]!Table1[[#This Row],[Stok Masuk]]-[1]!Table1[[#This Row],[Stok Keluar]]</f>
        <v>1</v>
      </c>
    </row>
    <row r="321" spans="1:9" ht="17">
      <c r="A321" s="10" t="s">
        <v>686</v>
      </c>
      <c r="B321" s="11" t="s">
        <v>687</v>
      </c>
      <c r="C321" s="12">
        <v>14000</v>
      </c>
      <c r="D321" s="10" t="s">
        <v>681</v>
      </c>
      <c r="E321" s="10"/>
      <c r="F321" s="10"/>
      <c r="G321" s="13">
        <f>SUMIF([1]!Table3[Kode],[1]!Table1[[#This Row],[Kode]],[1]!Table3[Qty])</f>
        <v>10</v>
      </c>
      <c r="H321" s="13">
        <f>SUMIF([1]!Table35[Kode],[1]!Table1[[#This Row],[Kode]],[1]!Table35[Qty])</f>
        <v>9</v>
      </c>
      <c r="I321" s="14">
        <f>[1]!Table1[[#This Row],[Stock Awal]]+[1]!Table1[[#This Row],[Stok Masuk]]-[1]!Table1[[#This Row],[Stok Keluar]]</f>
        <v>1</v>
      </c>
    </row>
    <row r="322" spans="1:9" ht="17">
      <c r="A322" s="10" t="s">
        <v>688</v>
      </c>
      <c r="B322" s="11" t="s">
        <v>689</v>
      </c>
      <c r="C322" s="12">
        <v>29000</v>
      </c>
      <c r="D322" s="10" t="s">
        <v>681</v>
      </c>
      <c r="E322" s="10"/>
      <c r="F322" s="10">
        <v>1</v>
      </c>
      <c r="G322" s="13">
        <f>SUMIF([1]!Table3[Kode],[1]!Table1[[#This Row],[Kode]],[1]!Table3[Qty])</f>
        <v>0</v>
      </c>
      <c r="H322" s="13">
        <f>SUMIF([1]!Table35[Kode],[1]!Table1[[#This Row],[Kode]],[1]!Table35[Qty])</f>
        <v>-14</v>
      </c>
      <c r="I322" s="14">
        <f>[1]!Table1[[#This Row],[Stock Awal]]+[1]!Table1[[#This Row],[Stok Masuk]]-[1]!Table1[[#This Row],[Stok Keluar]]</f>
        <v>15</v>
      </c>
    </row>
    <row r="323" spans="1:9" ht="17">
      <c r="A323" s="10" t="s">
        <v>690</v>
      </c>
      <c r="B323" s="11" t="s">
        <v>691</v>
      </c>
      <c r="C323" s="12">
        <v>29000</v>
      </c>
      <c r="D323" s="10" t="s">
        <v>681</v>
      </c>
      <c r="E323" s="10"/>
      <c r="F323" s="10"/>
      <c r="G323" s="13">
        <f>SUMIF([1]!Table3[Kode],[1]!Table1[[#This Row],[Kode]],[1]!Table3[Qty])</f>
        <v>10</v>
      </c>
      <c r="H323" s="13">
        <f>SUMIF([1]!Table35[Kode],[1]!Table1[[#This Row],[Kode]],[1]!Table35[Qty])</f>
        <v>0</v>
      </c>
      <c r="I323" s="14">
        <f>[1]!Table1[[#This Row],[Stock Awal]]+[1]!Table1[[#This Row],[Stok Masuk]]-[1]!Table1[[#This Row],[Stok Keluar]]</f>
        <v>10</v>
      </c>
    </row>
    <row r="324" spans="1:9" ht="17">
      <c r="A324" s="10" t="s">
        <v>692</v>
      </c>
      <c r="B324" s="11" t="s">
        <v>693</v>
      </c>
      <c r="C324" s="12">
        <v>29000</v>
      </c>
      <c r="D324" s="10" t="s">
        <v>681</v>
      </c>
      <c r="E324" s="10"/>
      <c r="F324" s="10"/>
      <c r="G324" s="13">
        <f>SUMIF([1]!Table3[Kode],[1]!Table1[[#This Row],[Kode]],[1]!Table3[Qty])</f>
        <v>10</v>
      </c>
      <c r="H324" s="13">
        <f>SUMIF([1]!Table35[Kode],[1]!Table1[[#This Row],[Kode]],[1]!Table35[Qty])</f>
        <v>3</v>
      </c>
      <c r="I324" s="14">
        <f>[1]!Table1[[#This Row],[Stock Awal]]+[1]!Table1[[#This Row],[Stok Masuk]]-[1]!Table1[[#This Row],[Stok Keluar]]</f>
        <v>7</v>
      </c>
    </row>
    <row r="325" spans="1:9" ht="17">
      <c r="A325" s="10" t="s">
        <v>694</v>
      </c>
      <c r="B325" s="11" t="s">
        <v>695</v>
      </c>
      <c r="C325" s="12">
        <v>29000</v>
      </c>
      <c r="D325" s="10" t="s">
        <v>681</v>
      </c>
      <c r="E325" s="10"/>
      <c r="F325" s="10">
        <v>1</v>
      </c>
      <c r="G325" s="13">
        <f>SUMIF([1]!Table3[Kode],[1]!Table1[[#This Row],[Kode]],[1]!Table3[Qty])</f>
        <v>10</v>
      </c>
      <c r="H325" s="13">
        <f>SUMIF([1]!Table35[Kode],[1]!Table1[[#This Row],[Kode]],[1]!Table35[Qty])</f>
        <v>5</v>
      </c>
      <c r="I325" s="14">
        <f>[1]!Table1[[#This Row],[Stock Awal]]+[1]!Table1[[#This Row],[Stok Masuk]]-[1]!Table1[[#This Row],[Stok Keluar]]</f>
        <v>6</v>
      </c>
    </row>
    <row r="326" spans="1:9" ht="17">
      <c r="A326" s="10" t="s">
        <v>696</v>
      </c>
      <c r="B326" s="11" t="s">
        <v>697</v>
      </c>
      <c r="C326" s="12">
        <v>29000</v>
      </c>
      <c r="D326" s="10" t="s">
        <v>681</v>
      </c>
      <c r="E326" s="10"/>
      <c r="F326" s="10"/>
      <c r="G326" s="13">
        <f>SUMIF([1]!Table3[Kode],[1]!Table1[[#This Row],[Kode]],[1]!Table3[Qty])</f>
        <v>10</v>
      </c>
      <c r="H326" s="13">
        <f>SUMIF([1]!Table35[Kode],[1]!Table1[[#This Row],[Kode]],[1]!Table35[Qty])</f>
        <v>3</v>
      </c>
      <c r="I326" s="14">
        <f>[1]!Table1[[#This Row],[Stock Awal]]+[1]!Table1[[#This Row],[Stok Masuk]]-[1]!Table1[[#This Row],[Stok Keluar]]</f>
        <v>7</v>
      </c>
    </row>
    <row r="327" spans="1:9" ht="17">
      <c r="A327" s="10" t="s">
        <v>698</v>
      </c>
      <c r="B327" s="11" t="s">
        <v>699</v>
      </c>
      <c r="C327" s="12">
        <v>29000</v>
      </c>
      <c r="D327" s="10" t="s">
        <v>681</v>
      </c>
      <c r="E327" s="10"/>
      <c r="F327" s="10"/>
      <c r="G327" s="13">
        <f>SUMIF([1]!Table3[Kode],[1]!Table1[[#This Row],[Kode]],[1]!Table3[Qty])</f>
        <v>5</v>
      </c>
      <c r="H327" s="13">
        <f>SUMIF([1]!Table35[Kode],[1]!Table1[[#This Row],[Kode]],[1]!Table35[Qty])</f>
        <v>-8</v>
      </c>
      <c r="I327" s="14">
        <f>[1]!Table1[[#This Row],[Stock Awal]]+[1]!Table1[[#This Row],[Stok Masuk]]-[1]!Table1[[#This Row],[Stok Keluar]]</f>
        <v>13</v>
      </c>
    </row>
    <row r="328" spans="1:9" ht="34">
      <c r="A328" s="10" t="s">
        <v>700</v>
      </c>
      <c r="B328" s="11" t="s">
        <v>701</v>
      </c>
      <c r="C328" s="12">
        <v>29000</v>
      </c>
      <c r="D328" s="10" t="s">
        <v>681</v>
      </c>
      <c r="E328" s="10"/>
      <c r="F328" s="10"/>
      <c r="G328" s="13">
        <f>SUMIF([1]!Table3[Kode],[1]!Table1[[#This Row],[Kode]],[1]!Table3[Qty])</f>
        <v>15</v>
      </c>
      <c r="H328" s="13">
        <f>SUMIF([1]!Table35[Kode],[1]!Table1[[#This Row],[Kode]],[1]!Table35[Qty])</f>
        <v>0</v>
      </c>
      <c r="I328" s="14">
        <f>[1]!Table1[[#This Row],[Stock Awal]]+[1]!Table1[[#This Row],[Stok Masuk]]-[1]!Table1[[#This Row],[Stok Keluar]]</f>
        <v>15</v>
      </c>
    </row>
    <row r="329" spans="1:9" ht="34">
      <c r="A329" s="10" t="s">
        <v>702</v>
      </c>
      <c r="B329" s="11" t="s">
        <v>703</v>
      </c>
      <c r="C329" s="12">
        <v>29000</v>
      </c>
      <c r="D329" s="10" t="s">
        <v>681</v>
      </c>
      <c r="E329" s="10"/>
      <c r="F329" s="10"/>
      <c r="G329" s="13">
        <f>SUMIF([1]!Table3[Kode],[1]!Table1[[#This Row],[Kode]],[1]!Table3[Qty])</f>
        <v>0</v>
      </c>
      <c r="H329" s="13">
        <f>SUMIF([1]!Table35[Kode],[1]!Table1[[#This Row],[Kode]],[1]!Table35[Qty])</f>
        <v>-6</v>
      </c>
      <c r="I329" s="14">
        <f>[1]!Table1[[#This Row],[Stock Awal]]+[1]!Table1[[#This Row],[Stok Masuk]]-[1]!Table1[[#This Row],[Stok Keluar]]</f>
        <v>6</v>
      </c>
    </row>
    <row r="330" spans="1:9" ht="17">
      <c r="A330" s="10" t="s">
        <v>704</v>
      </c>
      <c r="B330" s="11" t="s">
        <v>705</v>
      </c>
      <c r="C330" s="12">
        <v>29000</v>
      </c>
      <c r="D330" s="10" t="s">
        <v>681</v>
      </c>
      <c r="E330" s="10"/>
      <c r="F330" s="10"/>
      <c r="G330" s="13">
        <f>SUMIF([1]!Table3[Kode],[1]!Table1[[#This Row],[Kode]],[1]!Table3[Qty])</f>
        <v>0</v>
      </c>
      <c r="H330" s="13">
        <f>SUMIF([1]!Table35[Kode],[1]!Table1[[#This Row],[Kode]],[1]!Table35[Qty])</f>
        <v>-6</v>
      </c>
      <c r="I330" s="14">
        <f>[1]!Table1[[#This Row],[Stock Awal]]+[1]!Table1[[#This Row],[Stok Masuk]]-[1]!Table1[[#This Row],[Stok Keluar]]</f>
        <v>6</v>
      </c>
    </row>
    <row r="331" spans="1:9" ht="17">
      <c r="A331" s="10" t="s">
        <v>706</v>
      </c>
      <c r="B331" s="11" t="s">
        <v>707</v>
      </c>
      <c r="C331" s="12">
        <v>35000</v>
      </c>
      <c r="D331" s="10" t="s">
        <v>561</v>
      </c>
      <c r="E331" s="10" t="s">
        <v>708</v>
      </c>
      <c r="F331" s="10"/>
      <c r="G331" s="13">
        <f>SUMIF([1]!Table3[Kode],[1]!Table1[[#This Row],[Kode]],[1]!Table3[Qty])</f>
        <v>5</v>
      </c>
      <c r="H331" s="13">
        <f>SUMIF([1]!Table35[Kode],[1]!Table1[[#This Row],[Kode]],[1]!Table35[Qty])</f>
        <v>5</v>
      </c>
      <c r="I331" s="14">
        <f>[1]!Table1[[#This Row],[Stock Awal]]+[1]!Table1[[#This Row],[Stok Masuk]]-[1]!Table1[[#This Row],[Stok Keluar]]</f>
        <v>0</v>
      </c>
    </row>
    <row r="332" spans="1:9" ht="17">
      <c r="A332" s="10" t="s">
        <v>709</v>
      </c>
      <c r="B332" s="11" t="s">
        <v>710</v>
      </c>
      <c r="C332" s="12">
        <v>35000</v>
      </c>
      <c r="D332" s="10" t="s">
        <v>561</v>
      </c>
      <c r="E332" s="10" t="s">
        <v>708</v>
      </c>
      <c r="F332" s="10"/>
      <c r="G332" s="13">
        <f>SUMIF([1]!Table3[Kode],[1]!Table1[[#This Row],[Kode]],[1]!Table3[Qty])</f>
        <v>5</v>
      </c>
      <c r="H332" s="13">
        <f>SUMIF([1]!Table35[Kode],[1]!Table1[[#This Row],[Kode]],[1]!Table35[Qty])</f>
        <v>2</v>
      </c>
      <c r="I332" s="14">
        <f>[1]!Table1[[#This Row],[Stock Awal]]+[1]!Table1[[#This Row],[Stok Masuk]]-[1]!Table1[[#This Row],[Stok Keluar]]</f>
        <v>3</v>
      </c>
    </row>
    <row r="333" spans="1:9" ht="17">
      <c r="A333" s="10" t="s">
        <v>711</v>
      </c>
      <c r="B333" s="11" t="s">
        <v>712</v>
      </c>
      <c r="C333" s="12">
        <v>35000</v>
      </c>
      <c r="D333" s="10" t="s">
        <v>561</v>
      </c>
      <c r="E333" s="10" t="s">
        <v>708</v>
      </c>
      <c r="F333" s="10"/>
      <c r="G333" s="13">
        <f>SUMIF([1]!Table3[Kode],[1]!Table1[[#This Row],[Kode]],[1]!Table3[Qty])</f>
        <v>3</v>
      </c>
      <c r="H333" s="13">
        <f>SUMIF([1]!Table35[Kode],[1]!Table1[[#This Row],[Kode]],[1]!Table35[Qty])</f>
        <v>-3</v>
      </c>
      <c r="I333" s="14">
        <f>[1]!Table1[[#This Row],[Stock Awal]]+[1]!Table1[[#This Row],[Stok Masuk]]-[1]!Table1[[#This Row],[Stok Keluar]]</f>
        <v>6</v>
      </c>
    </row>
    <row r="334" spans="1:9" ht="17">
      <c r="A334" s="26" t="s">
        <v>713</v>
      </c>
      <c r="B334" s="27" t="s">
        <v>714</v>
      </c>
      <c r="C334" s="28">
        <v>29000</v>
      </c>
      <c r="D334" s="26" t="s">
        <v>715</v>
      </c>
      <c r="E334" s="26"/>
      <c r="F334" s="26"/>
      <c r="G334" s="29">
        <f>SUMIF([1]!Table3[Kode],[1]!Table1[[#This Row],[Kode]],[1]!Table3[Qty])</f>
        <v>15</v>
      </c>
      <c r="H334" s="29">
        <f>SUMIF([1]!Table35[Kode],[1]!Table1[[#This Row],[Kode]],[1]!Table35[Qty])</f>
        <v>4</v>
      </c>
      <c r="I334" s="30">
        <f>[1]!Table1[[#This Row],[Stock Awal]]+[1]!Table1[[#This Row],[Stok Masuk]]-[1]!Table1[[#This Row],[Stok Keluar]]</f>
        <v>11</v>
      </c>
    </row>
    <row r="335" spans="1:9" ht="17">
      <c r="A335" s="26" t="s">
        <v>716</v>
      </c>
      <c r="B335" s="27" t="s">
        <v>717</v>
      </c>
      <c r="C335" s="12">
        <v>14000</v>
      </c>
      <c r="D335" s="10" t="s">
        <v>681</v>
      </c>
      <c r="E335" s="26"/>
      <c r="F335" s="26">
        <v>1</v>
      </c>
      <c r="G335" s="29">
        <f>SUMIF([1]!Table3[Kode],[1]!Table1[[#This Row],[Kode]],[1]!Table3[Qty])</f>
        <v>5</v>
      </c>
      <c r="H335" s="29">
        <f>SUMIF([1]!Table35[Kode],[1]!Table1[[#This Row],[Kode]],[1]!Table35[Qty])</f>
        <v>4</v>
      </c>
      <c r="I335" s="30">
        <f>[1]!Table1[[#This Row],[Stock Awal]]+[1]!Table1[[#This Row],[Stok Masuk]]-[1]!Table1[[#This Row],[Stok Keluar]]</f>
        <v>2</v>
      </c>
    </row>
    <row r="336" spans="1:9" ht="17">
      <c r="A336" s="10" t="s">
        <v>718</v>
      </c>
      <c r="B336" s="11" t="s">
        <v>719</v>
      </c>
      <c r="C336" s="12">
        <v>16000</v>
      </c>
      <c r="D336" s="10" t="s">
        <v>561</v>
      </c>
      <c r="E336" s="10" t="s">
        <v>720</v>
      </c>
      <c r="F336" s="10"/>
      <c r="G336" s="13">
        <f>SUMIF([1]!Table3[Kode],[1]!Table1[[#This Row],[Kode]],[1]!Table3[Qty])</f>
        <v>12</v>
      </c>
      <c r="H336" s="13">
        <f>SUMIF([1]!Table35[Kode],[1]!Table1[[#This Row],[Kode]],[1]!Table35[Qty])</f>
        <v>5</v>
      </c>
      <c r="I336" s="14">
        <f>[1]!Table1[[#This Row],[Stock Awal]]+[1]!Table1[[#This Row],[Stok Masuk]]-[1]!Table1[[#This Row],[Stok Keluar]]</f>
        <v>7</v>
      </c>
    </row>
    <row r="337" spans="1:9" ht="17">
      <c r="A337" s="10" t="s">
        <v>721</v>
      </c>
      <c r="B337" s="11" t="s">
        <v>722</v>
      </c>
      <c r="C337" s="12">
        <v>16000</v>
      </c>
      <c r="D337" s="10" t="s">
        <v>561</v>
      </c>
      <c r="E337" s="10" t="s">
        <v>720</v>
      </c>
      <c r="F337" s="10"/>
      <c r="G337" s="13">
        <f>SUMIF([1]!Table3[Kode],[1]!Table1[[#This Row],[Kode]],[1]!Table3[Qty])</f>
        <v>10</v>
      </c>
      <c r="H337" s="13">
        <f>SUMIF([1]!Table35[Kode],[1]!Table1[[#This Row],[Kode]],[1]!Table35[Qty])</f>
        <v>2</v>
      </c>
      <c r="I337" s="14">
        <f>[1]!Table1[[#This Row],[Stock Awal]]+[1]!Table1[[#This Row],[Stok Masuk]]-[1]!Table1[[#This Row],[Stok Keluar]]</f>
        <v>8</v>
      </c>
    </row>
    <row r="338" spans="1:9" ht="17">
      <c r="A338" s="10" t="s">
        <v>723</v>
      </c>
      <c r="B338" s="11" t="s">
        <v>724</v>
      </c>
      <c r="C338" s="12">
        <v>16000</v>
      </c>
      <c r="D338" s="10" t="s">
        <v>561</v>
      </c>
      <c r="E338" s="10" t="s">
        <v>720</v>
      </c>
      <c r="F338" s="10">
        <v>1</v>
      </c>
      <c r="G338" s="13">
        <f>SUMIF([1]!Table3[Kode],[1]!Table1[[#This Row],[Kode]],[1]!Table3[Qty])</f>
        <v>10</v>
      </c>
      <c r="H338" s="13">
        <f>SUMIF([1]!Table35[Kode],[1]!Table1[[#This Row],[Kode]],[1]!Table35[Qty])</f>
        <v>8</v>
      </c>
      <c r="I338" s="14">
        <f>[1]!Table1[[#This Row],[Stock Awal]]+[1]!Table1[[#This Row],[Stok Masuk]]-[1]!Table1[[#This Row],[Stok Keluar]]</f>
        <v>3</v>
      </c>
    </row>
    <row r="339" spans="1:9" ht="17">
      <c r="A339" s="10" t="s">
        <v>725</v>
      </c>
      <c r="B339" s="11" t="s">
        <v>726</v>
      </c>
      <c r="C339" s="12">
        <v>16000</v>
      </c>
      <c r="D339" s="10" t="s">
        <v>561</v>
      </c>
      <c r="E339" s="10" t="s">
        <v>720</v>
      </c>
      <c r="F339" s="10"/>
      <c r="G339" s="13">
        <f>SUMIF([1]!Table3[Kode],[1]!Table1[[#This Row],[Kode]],[1]!Table3[Qty])</f>
        <v>10</v>
      </c>
      <c r="H339" s="13">
        <f>SUMIF([1]!Table35[Kode],[1]!Table1[[#This Row],[Kode]],[1]!Table35[Qty])</f>
        <v>0</v>
      </c>
      <c r="I339" s="14">
        <f>[1]!Table1[[#This Row],[Stock Awal]]+[1]!Table1[[#This Row],[Stok Masuk]]-[1]!Table1[[#This Row],[Stok Keluar]]</f>
        <v>10</v>
      </c>
    </row>
    <row r="340" spans="1:9" ht="17">
      <c r="A340" s="10" t="s">
        <v>727</v>
      </c>
      <c r="B340" s="11" t="s">
        <v>728</v>
      </c>
      <c r="C340" s="12">
        <v>16000</v>
      </c>
      <c r="D340" s="10" t="s">
        <v>561</v>
      </c>
      <c r="E340" s="10" t="s">
        <v>720</v>
      </c>
      <c r="F340" s="10"/>
      <c r="G340" s="13">
        <f>SUMIF([1]!Table3[Kode],[1]!Table1[[#This Row],[Kode]],[1]!Table3[Qty])</f>
        <v>23</v>
      </c>
      <c r="H340" s="13">
        <f>SUMIF([1]!Table35[Kode],[1]!Table1[[#This Row],[Kode]],[1]!Table35[Qty])</f>
        <v>15</v>
      </c>
      <c r="I340" s="14">
        <f>[1]!Table1[[#This Row],[Stock Awal]]+[1]!Table1[[#This Row],[Stok Masuk]]-[1]!Table1[[#This Row],[Stok Keluar]]</f>
        <v>8</v>
      </c>
    </row>
    <row r="341" spans="1:9" ht="17">
      <c r="A341" s="10" t="s">
        <v>729</v>
      </c>
      <c r="B341" s="11" t="s">
        <v>730</v>
      </c>
      <c r="C341" s="12">
        <v>16000</v>
      </c>
      <c r="D341" s="10" t="s">
        <v>561</v>
      </c>
      <c r="E341" s="10" t="s">
        <v>720</v>
      </c>
      <c r="F341" s="10"/>
      <c r="G341" s="13">
        <f>SUMIF([1]!Table3[Kode],[1]!Table1[[#This Row],[Kode]],[1]!Table3[Qty])</f>
        <v>20</v>
      </c>
      <c r="H341" s="13">
        <f>SUMIF([1]!Table35[Kode],[1]!Table1[[#This Row],[Kode]],[1]!Table35[Qty])</f>
        <v>10</v>
      </c>
      <c r="I341" s="14">
        <f>[1]!Table1[[#This Row],[Stock Awal]]+[1]!Table1[[#This Row],[Stok Masuk]]-[1]!Table1[[#This Row],[Stok Keluar]]</f>
        <v>10</v>
      </c>
    </row>
    <row r="342" spans="1:9" ht="17">
      <c r="A342" s="10" t="s">
        <v>731</v>
      </c>
      <c r="B342" s="11" t="s">
        <v>732</v>
      </c>
      <c r="C342" s="12">
        <v>16000</v>
      </c>
      <c r="D342" s="10" t="s">
        <v>561</v>
      </c>
      <c r="E342" s="10" t="s">
        <v>720</v>
      </c>
      <c r="F342" s="10"/>
      <c r="G342" s="13">
        <f>SUMIF([1]!Table3[Kode],[1]!Table1[[#This Row],[Kode]],[1]!Table3[Qty])</f>
        <v>10</v>
      </c>
      <c r="H342" s="13">
        <f>SUMIF([1]!Table35[Kode],[1]!Table1[[#This Row],[Kode]],[1]!Table35[Qty])</f>
        <v>2</v>
      </c>
      <c r="I342" s="14">
        <f>[1]!Table1[[#This Row],[Stock Awal]]+[1]!Table1[[#This Row],[Stok Masuk]]-[1]!Table1[[#This Row],[Stok Keluar]]</f>
        <v>8</v>
      </c>
    </row>
    <row r="343" spans="1:9" ht="17">
      <c r="A343" s="10" t="s">
        <v>733</v>
      </c>
      <c r="B343" s="11" t="s">
        <v>734</v>
      </c>
      <c r="C343" s="12">
        <v>16000</v>
      </c>
      <c r="D343" s="10" t="s">
        <v>561</v>
      </c>
      <c r="E343" s="10" t="s">
        <v>720</v>
      </c>
      <c r="F343" s="10"/>
      <c r="G343" s="13">
        <f>SUMIF([1]!Table3[Kode],[1]!Table1[[#This Row],[Kode]],[1]!Table3[Qty])</f>
        <v>10</v>
      </c>
      <c r="H343" s="13">
        <f>SUMIF([1]!Table35[Kode],[1]!Table1[[#This Row],[Kode]],[1]!Table35[Qty])</f>
        <v>0</v>
      </c>
      <c r="I343" s="14">
        <f>[1]!Table1[[#This Row],[Stock Awal]]+[1]!Table1[[#This Row],[Stok Masuk]]-[1]!Table1[[#This Row],[Stok Keluar]]</f>
        <v>10</v>
      </c>
    </row>
    <row r="344" spans="1:9" ht="17">
      <c r="A344" s="10" t="s">
        <v>735</v>
      </c>
      <c r="B344" s="11" t="s">
        <v>736</v>
      </c>
      <c r="C344" s="12">
        <v>10000</v>
      </c>
      <c r="D344" s="10" t="s">
        <v>561</v>
      </c>
      <c r="E344" s="10" t="s">
        <v>737</v>
      </c>
      <c r="F344" s="10"/>
      <c r="G344" s="13">
        <f>SUMIF([1]!Table3[Kode],[1]!Table1[[#This Row],[Kode]],[1]!Table3[Qty])</f>
        <v>10</v>
      </c>
      <c r="H344" s="13">
        <f>SUMIF([1]!Table35[Kode],[1]!Table1[[#This Row],[Kode]],[1]!Table35[Qty])</f>
        <v>2</v>
      </c>
      <c r="I344" s="14">
        <f>[1]!Table1[[#This Row],[Stock Awal]]+[1]!Table1[[#This Row],[Stok Masuk]]-[1]!Table1[[#This Row],[Stok Keluar]]</f>
        <v>8</v>
      </c>
    </row>
    <row r="345" spans="1:9" ht="34">
      <c r="A345" s="10" t="s">
        <v>738</v>
      </c>
      <c r="B345" s="11" t="s">
        <v>739</v>
      </c>
      <c r="C345" s="12">
        <v>10000</v>
      </c>
      <c r="D345" s="10" t="s">
        <v>561</v>
      </c>
      <c r="E345" s="10" t="s">
        <v>737</v>
      </c>
      <c r="F345" s="10"/>
      <c r="G345" s="13">
        <f>SUMIF([1]!Table3[Kode],[1]!Table1[[#This Row],[Kode]],[1]!Table3[Qty])</f>
        <v>10</v>
      </c>
      <c r="H345" s="13">
        <f>SUMIF([1]!Table35[Kode],[1]!Table1[[#This Row],[Kode]],[1]!Table35[Qty])</f>
        <v>-4</v>
      </c>
      <c r="I345" s="14">
        <f>[1]!Table1[[#This Row],[Stock Awal]]+[1]!Table1[[#This Row],[Stok Masuk]]-[1]!Table1[[#This Row],[Stok Keluar]]</f>
        <v>14</v>
      </c>
    </row>
    <row r="346" spans="1:9" ht="17">
      <c r="A346" s="10" t="s">
        <v>740</v>
      </c>
      <c r="B346" s="11" t="s">
        <v>741</v>
      </c>
      <c r="C346" s="12">
        <v>10000</v>
      </c>
      <c r="D346" s="10" t="s">
        <v>561</v>
      </c>
      <c r="E346" s="10" t="s">
        <v>737</v>
      </c>
      <c r="F346" s="10">
        <v>1</v>
      </c>
      <c r="G346" s="13">
        <f>SUMIF([1]!Table3[Kode],[1]!Table1[[#This Row],[Kode]],[1]!Table3[Qty])</f>
        <v>10</v>
      </c>
      <c r="H346" s="13">
        <f>SUMIF([1]!Table35[Kode],[1]!Table1[[#This Row],[Kode]],[1]!Table35[Qty])</f>
        <v>4</v>
      </c>
      <c r="I346" s="14">
        <f>[1]!Table1[[#This Row],[Stock Awal]]+[1]!Table1[[#This Row],[Stok Masuk]]-[1]!Table1[[#This Row],[Stok Keluar]]</f>
        <v>7</v>
      </c>
    </row>
    <row r="347" spans="1:9" ht="34">
      <c r="A347" s="10" t="s">
        <v>742</v>
      </c>
      <c r="B347" s="11" t="s">
        <v>743</v>
      </c>
      <c r="C347" s="12">
        <v>10000</v>
      </c>
      <c r="D347" s="10" t="s">
        <v>561</v>
      </c>
      <c r="E347" s="10" t="s">
        <v>737</v>
      </c>
      <c r="F347" s="10">
        <v>1</v>
      </c>
      <c r="G347" s="13">
        <f>SUMIF([1]!Table3[Kode],[1]!Table1[[#This Row],[Kode]],[1]!Table3[Qty])</f>
        <v>10</v>
      </c>
      <c r="H347" s="13">
        <f>SUMIF([1]!Table35[Kode],[1]!Table1[[#This Row],[Kode]],[1]!Table35[Qty])</f>
        <v>10</v>
      </c>
      <c r="I347" s="14">
        <f>[1]!Table1[[#This Row],[Stock Awal]]+[1]!Table1[[#This Row],[Stok Masuk]]-[1]!Table1[[#This Row],[Stok Keluar]]</f>
        <v>1</v>
      </c>
    </row>
    <row r="348" spans="1:9" ht="34">
      <c r="A348" s="10" t="s">
        <v>744</v>
      </c>
      <c r="B348" s="11" t="s">
        <v>745</v>
      </c>
      <c r="C348" s="12">
        <v>10000</v>
      </c>
      <c r="D348" s="10" t="s">
        <v>561</v>
      </c>
      <c r="E348" s="10" t="s">
        <v>737</v>
      </c>
      <c r="F348" s="10">
        <v>4</v>
      </c>
      <c r="G348" s="13">
        <f>SUMIF([1]!Table3[Kode],[1]!Table1[[#This Row],[Kode]],[1]!Table3[Qty])</f>
        <v>10</v>
      </c>
      <c r="H348" s="13">
        <f>SUMIF([1]!Table35[Kode],[1]!Table1[[#This Row],[Kode]],[1]!Table35[Qty])</f>
        <v>14</v>
      </c>
      <c r="I348" s="14">
        <f>[1]!Table1[[#This Row],[Stock Awal]]+[1]!Table1[[#This Row],[Stok Masuk]]-[1]!Table1[[#This Row],[Stok Keluar]]</f>
        <v>0</v>
      </c>
    </row>
    <row r="349" spans="1:9" ht="34">
      <c r="A349" s="10" t="s">
        <v>746</v>
      </c>
      <c r="B349" s="11" t="s">
        <v>747</v>
      </c>
      <c r="C349" s="12">
        <v>10000</v>
      </c>
      <c r="D349" s="10" t="s">
        <v>561</v>
      </c>
      <c r="E349" s="10" t="s">
        <v>737</v>
      </c>
      <c r="F349" s="10"/>
      <c r="G349" s="13">
        <f>SUMIF([1]!Table3[Kode],[1]!Table1[[#This Row],[Kode]],[1]!Table3[Qty])</f>
        <v>10</v>
      </c>
      <c r="H349" s="13">
        <f>SUMIF([1]!Table35[Kode],[1]!Table1[[#This Row],[Kode]],[1]!Table35[Qty])</f>
        <v>-3</v>
      </c>
      <c r="I349" s="14">
        <f>[1]!Table1[[#This Row],[Stock Awal]]+[1]!Table1[[#This Row],[Stok Masuk]]-[1]!Table1[[#This Row],[Stok Keluar]]</f>
        <v>13</v>
      </c>
    </row>
    <row r="350" spans="1:9" ht="34">
      <c r="A350" s="10" t="s">
        <v>748</v>
      </c>
      <c r="B350" s="11" t="s">
        <v>749</v>
      </c>
      <c r="C350" s="12">
        <v>10000</v>
      </c>
      <c r="D350" s="10" t="s">
        <v>561</v>
      </c>
      <c r="E350" s="10" t="s">
        <v>737</v>
      </c>
      <c r="F350" s="10"/>
      <c r="G350" s="13">
        <f>SUMIF([1]!Table3[Kode],[1]!Table1[[#This Row],[Kode]],[1]!Table3[Qty])</f>
        <v>10</v>
      </c>
      <c r="H350" s="13">
        <f>SUMIF([1]!Table35[Kode],[1]!Table1[[#This Row],[Kode]],[1]!Table35[Qty])</f>
        <v>3</v>
      </c>
      <c r="I350" s="14">
        <f>[1]!Table1[[#This Row],[Stock Awal]]+[1]!Table1[[#This Row],[Stok Masuk]]-[1]!Table1[[#This Row],[Stok Keluar]]</f>
        <v>7</v>
      </c>
    </row>
    <row r="351" spans="1:9" ht="34">
      <c r="A351" s="10" t="s">
        <v>750</v>
      </c>
      <c r="B351" s="11" t="s">
        <v>751</v>
      </c>
      <c r="C351" s="12">
        <v>10000</v>
      </c>
      <c r="D351" s="10" t="s">
        <v>561</v>
      </c>
      <c r="E351" s="10" t="s">
        <v>737</v>
      </c>
      <c r="F351" s="10"/>
      <c r="G351" s="13">
        <f>SUMIF([1]!Table3[Kode],[1]!Table1[[#This Row],[Kode]],[1]!Table3[Qty])</f>
        <v>10</v>
      </c>
      <c r="H351" s="13">
        <f>SUMIF([1]!Table35[Kode],[1]!Table1[[#This Row],[Kode]],[1]!Table35[Qty])</f>
        <v>1</v>
      </c>
      <c r="I351" s="14">
        <f>[1]!Table1[[#This Row],[Stock Awal]]+[1]!Table1[[#This Row],[Stok Masuk]]-[1]!Table1[[#This Row],[Stok Keluar]]</f>
        <v>9</v>
      </c>
    </row>
    <row r="352" spans="1:9" ht="34">
      <c r="A352" s="10" t="s">
        <v>752</v>
      </c>
      <c r="B352" s="11" t="s">
        <v>753</v>
      </c>
      <c r="C352" s="12">
        <v>10000</v>
      </c>
      <c r="D352" s="10" t="s">
        <v>561</v>
      </c>
      <c r="E352" s="10" t="s">
        <v>737</v>
      </c>
      <c r="F352" s="10"/>
      <c r="G352" s="13">
        <f>SUMIF([1]!Table3[Kode],[1]!Table1[[#This Row],[Kode]],[1]!Table3[Qty])</f>
        <v>10</v>
      </c>
      <c r="H352" s="13">
        <f>SUMIF([1]!Table35[Kode],[1]!Table1[[#This Row],[Kode]],[1]!Table35[Qty])</f>
        <v>1</v>
      </c>
      <c r="I352" s="14">
        <f>[1]!Table1[[#This Row],[Stock Awal]]+[1]!Table1[[#This Row],[Stok Masuk]]-[1]!Table1[[#This Row],[Stok Keluar]]</f>
        <v>9</v>
      </c>
    </row>
    <row r="353" spans="1:9" ht="34">
      <c r="A353" s="10" t="s">
        <v>754</v>
      </c>
      <c r="B353" s="11" t="s">
        <v>755</v>
      </c>
      <c r="C353" s="12">
        <v>25000</v>
      </c>
      <c r="D353" s="10" t="s">
        <v>561</v>
      </c>
      <c r="E353" s="10" t="s">
        <v>756</v>
      </c>
      <c r="F353" s="10"/>
      <c r="G353" s="13">
        <f>SUMIF([1]!Table3[Kode],[1]!Table1[[#This Row],[Kode]],[1]!Table3[Qty])</f>
        <v>5</v>
      </c>
      <c r="H353" s="13">
        <f>SUMIF([1]!Table35[Kode],[1]!Table1[[#This Row],[Kode]],[1]!Table35[Qty])</f>
        <v>4</v>
      </c>
      <c r="I353" s="14">
        <f>[1]!Table1[[#This Row],[Stock Awal]]+[1]!Table1[[#This Row],[Stok Masuk]]-[1]!Table1[[#This Row],[Stok Keluar]]</f>
        <v>1</v>
      </c>
    </row>
    <row r="354" spans="1:9" ht="34">
      <c r="A354" s="10" t="s">
        <v>757</v>
      </c>
      <c r="B354" s="11" t="s">
        <v>758</v>
      </c>
      <c r="C354" s="12">
        <v>25000</v>
      </c>
      <c r="D354" s="10" t="s">
        <v>561</v>
      </c>
      <c r="E354" s="10" t="s">
        <v>756</v>
      </c>
      <c r="F354" s="10"/>
      <c r="G354" s="13">
        <f>SUMIF([1]!Table3[Kode],[1]!Table1[[#This Row],[Kode]],[1]!Table3[Qty])</f>
        <v>5</v>
      </c>
      <c r="H354" s="13">
        <f>SUMIF([1]!Table35[Kode],[1]!Table1[[#This Row],[Kode]],[1]!Table35[Qty])</f>
        <v>3</v>
      </c>
      <c r="I354" s="14">
        <f>[1]!Table1[[#This Row],[Stock Awal]]+[1]!Table1[[#This Row],[Stok Masuk]]-[1]!Table1[[#This Row],[Stok Keluar]]</f>
        <v>2</v>
      </c>
    </row>
    <row r="355" spans="1:9" ht="17">
      <c r="A355" s="10" t="s">
        <v>759</v>
      </c>
      <c r="B355" s="11" t="s">
        <v>760</v>
      </c>
      <c r="C355" s="12"/>
      <c r="D355" s="10" t="s">
        <v>761</v>
      </c>
      <c r="E355" s="10"/>
      <c r="F355" s="10"/>
      <c r="G355" s="13">
        <f>SUMIF([1]!Table3[Kode],[1]!Table1[[#This Row],[Kode]],[1]!Table3[Qty])</f>
        <v>3</v>
      </c>
      <c r="H355" s="13">
        <f>SUMIF([1]!Table35[Kode],[1]!Table1[[#This Row],[Kode]],[1]!Table35[Qty])</f>
        <v>-4</v>
      </c>
      <c r="I355" s="14">
        <f>[1]!Table1[[#This Row],[Stock Awal]]+[1]!Table1[[#This Row],[Stok Masuk]]-[1]!Table1[[#This Row],[Stok Keluar]]</f>
        <v>7</v>
      </c>
    </row>
    <row r="356" spans="1:9" ht="17">
      <c r="A356" s="10" t="s">
        <v>762</v>
      </c>
      <c r="B356" s="11" t="s">
        <v>763</v>
      </c>
      <c r="C356" s="12"/>
      <c r="D356" s="10" t="s">
        <v>761</v>
      </c>
      <c r="E356" s="10"/>
      <c r="F356" s="10"/>
      <c r="G356" s="13">
        <f>SUMIF([1]!Table3[Kode],[1]!Table1[[#This Row],[Kode]],[1]!Table3[Qty])</f>
        <v>3</v>
      </c>
      <c r="H356" s="13">
        <f>SUMIF([1]!Table35[Kode],[1]!Table1[[#This Row],[Kode]],[1]!Table35[Qty])</f>
        <v>0</v>
      </c>
      <c r="I356" s="14">
        <f>[1]!Table1[[#This Row],[Stock Awal]]+[1]!Table1[[#This Row],[Stok Masuk]]-[1]!Table1[[#This Row],[Stok Keluar]]</f>
        <v>3</v>
      </c>
    </row>
    <row r="357" spans="1:9" ht="17">
      <c r="A357" s="10" t="s">
        <v>764</v>
      </c>
      <c r="B357" s="11" t="s">
        <v>765</v>
      </c>
      <c r="C357" s="12">
        <v>26500</v>
      </c>
      <c r="D357" s="10" t="s">
        <v>766</v>
      </c>
      <c r="E357" s="10"/>
      <c r="F357" s="10"/>
      <c r="G357" s="15">
        <f>SUMIF([1]!Table3[Kode],[1]!Table1[[#This Row],[Kode]],[1]!Table3[Qty])</f>
        <v>10</v>
      </c>
      <c r="H357" s="15">
        <f>SUMIF([1]!Table35[Kode],[1]!Table1[[#This Row],[Kode]],[1]!Table35[Qty])</f>
        <v>-7</v>
      </c>
      <c r="I357" s="16">
        <f>[1]!Table1[[#This Row],[Stock Awal]]+[1]!Table1[[#This Row],[Stok Masuk]]-[1]!Table1[[#This Row],[Stok Keluar]]</f>
        <v>17</v>
      </c>
    </row>
    <row r="358" spans="1:9" ht="17">
      <c r="A358" s="10" t="s">
        <v>767</v>
      </c>
      <c r="B358" s="11" t="s">
        <v>768</v>
      </c>
      <c r="C358" s="12">
        <v>20000</v>
      </c>
      <c r="D358" s="10" t="s">
        <v>769</v>
      </c>
      <c r="E358" s="10"/>
      <c r="F358" s="10"/>
      <c r="G358" s="15">
        <f>SUMIF([1]!Table3[Kode],[1]!Table1[[#This Row],[Kode]],[1]!Table3[Qty])</f>
        <v>0</v>
      </c>
      <c r="H358" s="15">
        <f>SUMIF([1]!Table35[Kode],[1]!Table1[[#This Row],[Kode]],[1]!Table35[Qty])</f>
        <v>-4</v>
      </c>
      <c r="I358" s="16">
        <f>[1]!Table1[[#This Row],[Stock Awal]]+[1]!Table1[[#This Row],[Stok Masuk]]-[1]!Table1[[#This Row],[Stok Keluar]]</f>
        <v>4</v>
      </c>
    </row>
    <row r="359" spans="1:9" ht="17">
      <c r="A359" s="10" t="s">
        <v>770</v>
      </c>
      <c r="B359" s="11" t="s">
        <v>771</v>
      </c>
      <c r="C359" s="12">
        <v>22000</v>
      </c>
      <c r="D359" s="10" t="s">
        <v>772</v>
      </c>
      <c r="E359" s="10"/>
      <c r="F359" s="10"/>
      <c r="G359" s="15">
        <f>SUMIF([1]!Table3[Kode],[1]!Table1[[#This Row],[Kode]],[1]!Table3[Qty])</f>
        <v>0</v>
      </c>
      <c r="H359" s="15">
        <f>SUMIF([1]!Table35[Kode],[1]!Table1[[#This Row],[Kode]],[1]!Table35[Qty])</f>
        <v>-1</v>
      </c>
      <c r="I359" s="16">
        <f>[1]!Table1[[#This Row],[Stock Awal]]+[1]!Table1[[#This Row],[Stok Masuk]]-[1]!Table1[[#This Row],[Stok Keluar]]</f>
        <v>1</v>
      </c>
    </row>
    <row r="360" spans="1:9" ht="17">
      <c r="A360" s="10" t="s">
        <v>773</v>
      </c>
      <c r="B360" s="11" t="s">
        <v>774</v>
      </c>
      <c r="C360" s="12">
        <v>28000</v>
      </c>
      <c r="D360" s="10" t="s">
        <v>775</v>
      </c>
      <c r="E360" s="10"/>
      <c r="F360" s="10"/>
      <c r="G360" s="15">
        <f>SUMIF([1]!Table3[Kode],[1]!Table1[[#This Row],[Kode]],[1]!Table3[Qty])</f>
        <v>0</v>
      </c>
      <c r="H360" s="15">
        <f>SUMIF([1]!Table35[Kode],[1]!Table1[[#This Row],[Kode]],[1]!Table35[Qty])</f>
        <v>-5</v>
      </c>
      <c r="I360" s="16">
        <f>[1]!Table1[[#This Row],[Stock Awal]]+[1]!Table1[[#This Row],[Stok Masuk]]-[1]!Table1[[#This Row],[Stok Keluar]]</f>
        <v>5</v>
      </c>
    </row>
    <row r="361" spans="1:9" ht="17">
      <c r="A361" s="10" t="s">
        <v>776</v>
      </c>
      <c r="B361" s="11" t="s">
        <v>777</v>
      </c>
      <c r="C361" s="12">
        <v>25000</v>
      </c>
      <c r="D361" s="10" t="s">
        <v>766</v>
      </c>
      <c r="E361" s="10" t="s">
        <v>778</v>
      </c>
      <c r="F361" s="10"/>
      <c r="G361" s="15">
        <f>SUMIF([1]!Table3[Kode],[1]!Table1[[#This Row],[Kode]],[1]!Table3[Qty])</f>
        <v>3</v>
      </c>
      <c r="H361" s="15">
        <f>SUMIF([1]!Table35[Kode],[1]!Table1[[#This Row],[Kode]],[1]!Table35[Qty])</f>
        <v>2</v>
      </c>
      <c r="I361" s="16">
        <f>[1]!Table1[[#This Row],[Stock Awal]]+[1]!Table1[[#This Row],[Stok Masuk]]-[1]!Table1[[#This Row],[Stok Keluar]]</f>
        <v>1</v>
      </c>
    </row>
    <row r="362" spans="1:9" ht="17">
      <c r="A362" s="10" t="s">
        <v>779</v>
      </c>
      <c r="B362" s="11" t="s">
        <v>780</v>
      </c>
      <c r="C362" s="12">
        <v>22000</v>
      </c>
      <c r="D362" s="10" t="s">
        <v>781</v>
      </c>
      <c r="E362" s="10"/>
      <c r="F362" s="10"/>
      <c r="G362" s="15">
        <f>SUMIF([1]!Table3[Kode],[1]!Table1[[#This Row],[Kode]],[1]!Table3[Qty])</f>
        <v>0</v>
      </c>
      <c r="H362" s="15">
        <f>SUMIF([1]!Table35[Kode],[1]!Table1[[#This Row],[Kode]],[1]!Table35[Qty])</f>
        <v>-4</v>
      </c>
      <c r="I362" s="16">
        <f>[1]!Table1[[#This Row],[Stock Awal]]+[1]!Table1[[#This Row],[Stok Masuk]]-[1]!Table1[[#This Row],[Stok Keluar]]</f>
        <v>4</v>
      </c>
    </row>
    <row r="363" spans="1:9" ht="17">
      <c r="A363" s="10" t="s">
        <v>782</v>
      </c>
      <c r="B363" s="11" t="s">
        <v>783</v>
      </c>
      <c r="C363" s="12">
        <v>15000</v>
      </c>
      <c r="D363" s="10" t="s">
        <v>784</v>
      </c>
      <c r="E363" s="10"/>
      <c r="F363" s="10"/>
      <c r="G363" s="15">
        <f>SUMIF([1]!Table3[Kode],[1]!Table1[[#This Row],[Kode]],[1]!Table3[Qty])</f>
        <v>0</v>
      </c>
      <c r="H363" s="15">
        <f>SUMIF([1]!Table35[Kode],[1]!Table1[[#This Row],[Kode]],[1]!Table35[Qty])</f>
        <v>-9</v>
      </c>
      <c r="I363" s="16">
        <f>[1]!Table1[[#This Row],[Stock Awal]]+[1]!Table1[[#This Row],[Stok Masuk]]-[1]!Table1[[#This Row],[Stok Keluar]]</f>
        <v>9</v>
      </c>
    </row>
    <row r="364" spans="1:9" ht="17">
      <c r="A364" s="10" t="s">
        <v>785</v>
      </c>
      <c r="B364" s="11" t="s">
        <v>786</v>
      </c>
      <c r="C364" s="12">
        <v>15000</v>
      </c>
      <c r="D364" s="40" t="s">
        <v>787</v>
      </c>
      <c r="E364" s="10"/>
      <c r="F364" s="10"/>
      <c r="G364" s="15">
        <f>SUMIF([1]!Table3[Kode],[1]!Table1[[#This Row],[Kode]],[1]!Table3[Qty])</f>
        <v>0</v>
      </c>
      <c r="H364" s="15">
        <f>SUMIF([1]!Table35[Kode],[1]!Table1[[#This Row],[Kode]],[1]!Table35[Qty])</f>
        <v>-19</v>
      </c>
      <c r="I364" s="16">
        <f>[1]!Table1[[#This Row],[Stock Awal]]+[1]!Table1[[#This Row],[Stok Masuk]]-[1]!Table1[[#This Row],[Stok Keluar]]</f>
        <v>19</v>
      </c>
    </row>
    <row r="365" spans="1:9" ht="17">
      <c r="A365" s="10" t="s">
        <v>788</v>
      </c>
      <c r="B365" s="11" t="s">
        <v>789</v>
      </c>
      <c r="C365" s="12">
        <v>35000</v>
      </c>
      <c r="D365" s="10" t="s">
        <v>790</v>
      </c>
      <c r="E365" s="10"/>
      <c r="F365" s="10">
        <v>2</v>
      </c>
      <c r="G365" s="15">
        <f>SUMIF([1]!Table3[Kode],[1]!Table1[[#This Row],[Kode]],[1]!Table3[Qty])</f>
        <v>50</v>
      </c>
      <c r="H365" s="15">
        <f>SUMIF([1]!Table35[Kode],[1]!Table1[[#This Row],[Kode]],[1]!Table35[Qty])</f>
        <v>-10</v>
      </c>
      <c r="I365" s="16">
        <f>[1]!Table1[[#This Row],[Stock Awal]]+[1]!Table1[[#This Row],[Stok Masuk]]-[1]!Table1[[#This Row],[Stok Keluar]]</f>
        <v>62</v>
      </c>
    </row>
    <row r="366" spans="1:9">
      <c r="A366" s="23" t="s">
        <v>791</v>
      </c>
      <c r="B366" s="23" t="s">
        <v>792</v>
      </c>
      <c r="C366" s="12">
        <v>16000</v>
      </c>
      <c r="D366" s="10" t="s">
        <v>793</v>
      </c>
      <c r="E366" s="10" t="s">
        <v>794</v>
      </c>
      <c r="F366" s="10"/>
      <c r="G366" s="15">
        <f>SUMIF([1]!Table3[Kode],[1]!Table1[[#This Row],[Kode]],[1]!Table3[Qty])</f>
        <v>12</v>
      </c>
      <c r="H366" s="15">
        <f>SUMIF([1]!Table35[Kode],[1]!Table1[[#This Row],[Kode]],[1]!Table35[Qty])</f>
        <v>12</v>
      </c>
      <c r="I366" s="16">
        <f>[1]!Table1[[#This Row],[Stock Awal]]+[1]!Table1[[#This Row],[Stok Masuk]]-[1]!Table1[[#This Row],[Stok Keluar]]</f>
        <v>0</v>
      </c>
    </row>
    <row r="367" spans="1:9">
      <c r="A367" s="3" t="s">
        <v>795</v>
      </c>
      <c r="B367" s="23" t="s">
        <v>796</v>
      </c>
      <c r="C367" s="12">
        <v>54000</v>
      </c>
      <c r="D367" s="10" t="s">
        <v>561</v>
      </c>
      <c r="E367" s="10" t="s">
        <v>797</v>
      </c>
      <c r="F367" s="10"/>
      <c r="G367" s="15">
        <f>SUMIF([1]!Table3[Kode],[1]!Table1[[#This Row],[Kode]],[1]!Table3[Qty])</f>
        <v>0</v>
      </c>
      <c r="H367" s="15">
        <f>SUMIF([1]!Table35[Kode],[1]!Table1[[#This Row],[Kode]],[1]!Table35[Qty])</f>
        <v>-5</v>
      </c>
      <c r="I367" s="16">
        <f>[1]!Table1[[#This Row],[Stock Awal]]+[1]!Table1[[#This Row],[Stok Masuk]]-[1]!Table1[[#This Row],[Stok Keluar]]</f>
        <v>5</v>
      </c>
    </row>
    <row r="368" spans="1:9">
      <c r="A368" s="3" t="s">
        <v>798</v>
      </c>
      <c r="B368" s="23" t="s">
        <v>799</v>
      </c>
      <c r="C368" s="12">
        <v>50000</v>
      </c>
      <c r="D368" s="10" t="s">
        <v>800</v>
      </c>
      <c r="E368" s="10" t="s">
        <v>801</v>
      </c>
      <c r="F368" s="10"/>
      <c r="G368" s="15">
        <f>SUMIF([1]!Table3[Kode],[1]!Table1[[#This Row],[Kode]],[1]!Table3[Qty])</f>
        <v>5</v>
      </c>
      <c r="H368" s="15">
        <f>SUMIF([1]!Table35[Kode],[1]!Table1[[#This Row],[Kode]],[1]!Table35[Qty])</f>
        <v>4</v>
      </c>
      <c r="I368" s="16">
        <f>[1]!Table1[[#This Row],[Stock Awal]]+[1]!Table1[[#This Row],[Stok Masuk]]-[1]!Table1[[#This Row],[Stok Keluar]]</f>
        <v>1</v>
      </c>
    </row>
    <row r="369" spans="1:9">
      <c r="A369" s="3" t="s">
        <v>802</v>
      </c>
      <c r="B369" s="23" t="s">
        <v>803</v>
      </c>
      <c r="C369" s="12">
        <v>25000</v>
      </c>
      <c r="D369" s="10" t="s">
        <v>766</v>
      </c>
      <c r="E369" s="10" t="s">
        <v>778</v>
      </c>
      <c r="F369" s="10"/>
      <c r="G369" s="15">
        <f>SUMIF([1]!Table3[Kode],[1]!Table1[[#This Row],[Kode]],[1]!Table3[Qty])</f>
        <v>3</v>
      </c>
      <c r="H369" s="15">
        <f>SUMIF([1]!Table35[Kode],[1]!Table1[[#This Row],[Kode]],[1]!Table35[Qty])</f>
        <v>3</v>
      </c>
      <c r="I369" s="16">
        <f>[1]!Table1[[#This Row],[Stock Awal]]+[1]!Table1[[#This Row],[Stok Masuk]]-[1]!Table1[[#This Row],[Stok Keluar]]</f>
        <v>0</v>
      </c>
    </row>
    <row r="370" spans="1:9">
      <c r="A370" s="3" t="s">
        <v>804</v>
      </c>
      <c r="B370" s="23" t="s">
        <v>805</v>
      </c>
      <c r="C370" s="12">
        <v>10000</v>
      </c>
      <c r="D370" s="10"/>
      <c r="E370" s="10"/>
      <c r="F370" s="10"/>
      <c r="G370" s="15">
        <f>SUMIF([1]!Table3[Kode],[1]!Table1[[#This Row],[Kode]],[1]!Table3[Qty])</f>
        <v>50</v>
      </c>
      <c r="H370" s="15">
        <f>SUMIF([1]!Table35[Kode],[1]!Table1[[#This Row],[Kode]],[1]!Table35[Qty])</f>
        <v>46</v>
      </c>
      <c r="I370" s="16">
        <f>[1]!Table1[[#This Row],[Stock Awal]]+[1]!Table1[[#This Row],[Stok Masuk]]-[1]!Table1[[#This Row],[Stok Keluar]]</f>
        <v>4</v>
      </c>
    </row>
    <row r="371" spans="1:9">
      <c r="A371" s="3" t="s">
        <v>806</v>
      </c>
      <c r="B371" s="23" t="s">
        <v>807</v>
      </c>
      <c r="C371" s="12">
        <v>20000</v>
      </c>
      <c r="D371" s="10"/>
      <c r="E371" s="10"/>
      <c r="F371" s="10"/>
      <c r="G371" s="15">
        <f>SUMIF([1]!Table3[Kode],[1]!Table1[[#This Row],[Kode]],[1]!Table3[Qty])</f>
        <v>3</v>
      </c>
      <c r="H371" s="15">
        <f>SUMIF([1]!Table35[Kode],[1]!Table1[[#This Row],[Kode]],[1]!Table35[Qty])</f>
        <v>3</v>
      </c>
      <c r="I371" s="16">
        <f>[1]!Table1[[#This Row],[Stock Awal]]+[1]!Table1[[#This Row],[Stok Masuk]]-[1]!Table1[[#This Row],[Stok Keluar]]</f>
        <v>0</v>
      </c>
    </row>
    <row r="372" spans="1:9">
      <c r="A372" s="3" t="s">
        <v>808</v>
      </c>
      <c r="B372" s="23" t="s">
        <v>809</v>
      </c>
      <c r="C372" s="12">
        <v>20000</v>
      </c>
      <c r="D372" s="10"/>
      <c r="E372" s="10"/>
      <c r="F372" s="10"/>
      <c r="G372" s="15">
        <f>SUMIF([1]!Table3[Kode],[1]!Table1[[#This Row],[Kode]],[1]!Table3[Qty])</f>
        <v>3</v>
      </c>
      <c r="H372" s="15">
        <f>SUMIF([1]!Table35[Kode],[1]!Table1[[#This Row],[Kode]],[1]!Table35[Qty])</f>
        <v>3</v>
      </c>
      <c r="I372" s="16">
        <f>[1]!Table1[[#This Row],[Stock Awal]]+[1]!Table1[[#This Row],[Stok Masuk]]-[1]!Table1[[#This Row],[Stok Keluar]]</f>
        <v>0</v>
      </c>
    </row>
    <row r="373" spans="1:9">
      <c r="A373" s="41" t="s">
        <v>810</v>
      </c>
      <c r="B373" s="42" t="s">
        <v>811</v>
      </c>
      <c r="C373" s="43">
        <v>22000</v>
      </c>
      <c r="D373" s="42" t="s">
        <v>772</v>
      </c>
      <c r="E373" s="42"/>
      <c r="F373" s="42"/>
      <c r="G373" s="44">
        <f>SUMIF([1]!Table3[Kode],[1]!Table1[[#This Row],[Kode]],[1]!Table3[Qty])</f>
        <v>2</v>
      </c>
      <c r="H373" s="44">
        <f>SUMIF([1]!Table35[Kode],[1]!Table1[[#This Row],[Kode]],[1]!Table35[Qty])</f>
        <v>2</v>
      </c>
      <c r="I373" s="45">
        <f>[1]!Table1[[#This Row],[Stock Awal]]+[1]!Table1[[#This Row],[Stok Masuk]]-[1]!Table1[[#This Row],[Stok Keluar]]</f>
        <v>0</v>
      </c>
    </row>
    <row r="374" spans="1:9" ht="17">
      <c r="A374" s="10" t="s">
        <v>812</v>
      </c>
      <c r="B374" s="11" t="s">
        <v>813</v>
      </c>
      <c r="C374" s="17">
        <v>165000</v>
      </c>
      <c r="D374" s="10" t="s">
        <v>814</v>
      </c>
      <c r="E374" s="10"/>
      <c r="F374" s="10">
        <v>6</v>
      </c>
      <c r="G374" s="13">
        <f>SUMIF([1]!Table3[Kode],[1]!Table1[[#This Row],[Kode]],[1]!Table3[Qty])</f>
        <v>103</v>
      </c>
      <c r="H374" s="13">
        <f>SUMIF([1]!Table35[Kode],[1]!Table1[[#This Row],[Kode]],[1]!Table35[Qty])</f>
        <v>55</v>
      </c>
      <c r="I374" s="14">
        <f>[1]!Table1[[#This Row],[Stock Awal]]+[1]!Table1[[#This Row],[Stok Masuk]]-[1]!Table1[[#This Row],[Stok Keluar]]</f>
        <v>54</v>
      </c>
    </row>
    <row r="375" spans="1:9" ht="17">
      <c r="A375" s="46" t="s">
        <v>815</v>
      </c>
      <c r="B375" s="11" t="s">
        <v>816</v>
      </c>
      <c r="C375" s="17">
        <v>165000</v>
      </c>
      <c r="D375" s="10" t="s">
        <v>814</v>
      </c>
      <c r="E375" s="10"/>
      <c r="F375" s="10">
        <v>7</v>
      </c>
      <c r="G375" s="13">
        <f>SUMIF([1]!Table3[Kode],[1]!Table1[[#This Row],[Kode]],[1]!Table3[Qty])</f>
        <v>52</v>
      </c>
      <c r="H375" s="13">
        <f>SUMIF([1]!Table35[Kode],[1]!Table1[[#This Row],[Kode]],[1]!Table35[Qty])</f>
        <v>57</v>
      </c>
      <c r="I375" s="14">
        <f>[1]!Table1[[#This Row],[Stock Awal]]+[1]!Table1[[#This Row],[Stok Masuk]]-[1]!Table1[[#This Row],[Stok Keluar]]</f>
        <v>2</v>
      </c>
    </row>
    <row r="376" spans="1:9" ht="17">
      <c r="A376" s="10" t="s">
        <v>817</v>
      </c>
      <c r="B376" s="11" t="s">
        <v>818</v>
      </c>
      <c r="C376" s="17">
        <v>165000</v>
      </c>
      <c r="D376" s="10" t="s">
        <v>814</v>
      </c>
      <c r="E376" s="10"/>
      <c r="F376" s="10">
        <v>2</v>
      </c>
      <c r="G376" s="13">
        <f>SUMIF([1]!Table3[Kode],[1]!Table1[[#This Row],[Kode]],[1]!Table3[Qty])</f>
        <v>19</v>
      </c>
      <c r="H376" s="13">
        <f>SUMIF([1]!Table35[Kode],[1]!Table1[[#This Row],[Kode]],[1]!Table35[Qty])</f>
        <v>15</v>
      </c>
      <c r="I376" s="14">
        <f>[1]!Table1[[#This Row],[Stock Awal]]+[1]!Table1[[#This Row],[Stok Masuk]]-[1]!Table1[[#This Row],[Stok Keluar]]</f>
        <v>6</v>
      </c>
    </row>
    <row r="377" spans="1:9" ht="17">
      <c r="A377" s="46" t="s">
        <v>819</v>
      </c>
      <c r="B377" s="11" t="s">
        <v>820</v>
      </c>
      <c r="C377" s="17">
        <v>165000</v>
      </c>
      <c r="D377" s="10" t="s">
        <v>814</v>
      </c>
      <c r="E377" s="10"/>
      <c r="F377" s="10">
        <v>2</v>
      </c>
      <c r="G377" s="13">
        <f>SUMIF([1]!Table3[Kode],[1]!Table1[[#This Row],[Kode]],[1]!Table3[Qty])</f>
        <v>30</v>
      </c>
      <c r="H377" s="13">
        <f>SUMIF([1]!Table35[Kode],[1]!Table1[[#This Row],[Kode]],[1]!Table35[Qty])</f>
        <v>19</v>
      </c>
      <c r="I377" s="14">
        <f>[1]!Table1[[#This Row],[Stock Awal]]+[1]!Table1[[#This Row],[Stok Masuk]]-[1]!Table1[[#This Row],[Stok Keluar]]</f>
        <v>13</v>
      </c>
    </row>
    <row r="378" spans="1:9" ht="17">
      <c r="A378" s="10" t="s">
        <v>821</v>
      </c>
      <c r="B378" s="11" t="s">
        <v>822</v>
      </c>
      <c r="C378" s="17">
        <v>165000</v>
      </c>
      <c r="D378" s="10" t="s">
        <v>814</v>
      </c>
      <c r="E378" s="10"/>
      <c r="F378" s="10">
        <v>3</v>
      </c>
      <c r="G378" s="13">
        <f>SUMIF([1]!Table3[Kode],[1]!Table1[[#This Row],[Kode]],[1]!Table3[Qty])</f>
        <v>44</v>
      </c>
      <c r="H378" s="13">
        <f>SUMIF([1]!Table35[Kode],[1]!Table1[[#This Row],[Kode]],[1]!Table35[Qty])</f>
        <v>40</v>
      </c>
      <c r="I378" s="14">
        <f>[1]!Table1[[#This Row],[Stock Awal]]+[1]!Table1[[#This Row],[Stok Masuk]]-[1]!Table1[[#This Row],[Stok Keluar]]</f>
        <v>7</v>
      </c>
    </row>
    <row r="379" spans="1:9" ht="17">
      <c r="A379" s="46" t="s">
        <v>823</v>
      </c>
      <c r="B379" s="11" t="s">
        <v>824</v>
      </c>
      <c r="C379" s="17">
        <v>165000</v>
      </c>
      <c r="D379" s="10" t="s">
        <v>814</v>
      </c>
      <c r="E379" s="10"/>
      <c r="F379" s="10">
        <v>1</v>
      </c>
      <c r="G379" s="13">
        <f>SUMIF([1]!Table3[Kode],[1]!Table1[[#This Row],[Kode]],[1]!Table3[Qty])</f>
        <v>10</v>
      </c>
      <c r="H379" s="13">
        <f>SUMIF([1]!Table35[Kode],[1]!Table1[[#This Row],[Kode]],[1]!Table35[Qty])</f>
        <v>10</v>
      </c>
      <c r="I379" s="14">
        <f>[1]!Table1[[#This Row],[Stock Awal]]+[1]!Table1[[#This Row],[Stok Masuk]]-[1]!Table1[[#This Row],[Stok Keluar]]</f>
        <v>1</v>
      </c>
    </row>
    <row r="380" spans="1:9" ht="17">
      <c r="A380" s="10" t="s">
        <v>825</v>
      </c>
      <c r="B380" s="11" t="s">
        <v>826</v>
      </c>
      <c r="C380" s="17">
        <v>190000</v>
      </c>
      <c r="D380" s="10" t="s">
        <v>814</v>
      </c>
      <c r="E380" s="10"/>
      <c r="F380" s="10">
        <v>2</v>
      </c>
      <c r="G380" s="13">
        <f>SUMIF([1]!Table3[Kode],[1]!Table1[[#This Row],[Kode]],[1]!Table3[Qty])</f>
        <v>0</v>
      </c>
      <c r="H380" s="13">
        <f>SUMIF([1]!Table35[Kode],[1]!Table1[[#This Row],[Kode]],[1]!Table35[Qty])</f>
        <v>2</v>
      </c>
      <c r="I380" s="14">
        <f>[1]!Table1[[#This Row],[Stock Awal]]+[1]!Table1[[#This Row],[Stok Masuk]]-[1]!Table1[[#This Row],[Stok Keluar]]</f>
        <v>0</v>
      </c>
    </row>
    <row r="381" spans="1:9" ht="17">
      <c r="A381" s="46" t="s">
        <v>827</v>
      </c>
      <c r="B381" s="11" t="s">
        <v>828</v>
      </c>
      <c r="C381" s="17">
        <v>190000</v>
      </c>
      <c r="D381" s="10" t="s">
        <v>814</v>
      </c>
      <c r="E381" s="10"/>
      <c r="F381" s="10">
        <v>0</v>
      </c>
      <c r="G381" s="13">
        <f>SUMIF([1]!Table3[Kode],[1]!Table1[[#This Row],[Kode]],[1]!Table3[Qty])</f>
        <v>0</v>
      </c>
      <c r="H381" s="13">
        <f>SUMIF([1]!Table35[Kode],[1]!Table1[[#This Row],[Kode]],[1]!Table35[Qty])</f>
        <v>0</v>
      </c>
      <c r="I381" s="14">
        <f>[1]!Table1[[#This Row],[Stock Awal]]+[1]!Table1[[#This Row],[Stok Masuk]]-[1]!Table1[[#This Row],[Stok Keluar]]</f>
        <v>0</v>
      </c>
    </row>
    <row r="382" spans="1:9" ht="34">
      <c r="A382" s="10" t="s">
        <v>829</v>
      </c>
      <c r="B382" s="11" t="s">
        <v>830</v>
      </c>
      <c r="C382" s="17">
        <v>190000</v>
      </c>
      <c r="D382" s="10" t="s">
        <v>814</v>
      </c>
      <c r="E382" s="10"/>
      <c r="F382" s="10">
        <v>2</v>
      </c>
      <c r="G382" s="13">
        <f>SUMIF([1]!Table3[Kode],[1]!Table1[[#This Row],[Kode]],[1]!Table3[Qty])</f>
        <v>0</v>
      </c>
      <c r="H382" s="13">
        <f>SUMIF([1]!Table35[Kode],[1]!Table1[[#This Row],[Kode]],[1]!Table35[Qty])</f>
        <v>2</v>
      </c>
      <c r="I382" s="14">
        <f>[1]!Table1[[#This Row],[Stock Awal]]+[1]!Table1[[#This Row],[Stok Masuk]]-[1]!Table1[[#This Row],[Stok Keluar]]</f>
        <v>0</v>
      </c>
    </row>
    <row r="383" spans="1:9" ht="17">
      <c r="A383" s="46" t="s">
        <v>831</v>
      </c>
      <c r="B383" s="11" t="s">
        <v>832</v>
      </c>
      <c r="C383" s="17">
        <v>190000</v>
      </c>
      <c r="D383" s="10" t="s">
        <v>814</v>
      </c>
      <c r="E383" s="10"/>
      <c r="F383" s="10">
        <v>2</v>
      </c>
      <c r="G383" s="13">
        <f>SUMIF([1]!Table3[Kode],[1]!Table1[[#This Row],[Kode]],[1]!Table3[Qty])</f>
        <v>0</v>
      </c>
      <c r="H383" s="13">
        <f>SUMIF([1]!Table35[Kode],[1]!Table1[[#This Row],[Kode]],[1]!Table35[Qty])</f>
        <v>2</v>
      </c>
      <c r="I383" s="14">
        <f>[1]!Table1[[#This Row],[Stock Awal]]+[1]!Table1[[#This Row],[Stok Masuk]]-[1]!Table1[[#This Row],[Stok Keluar]]</f>
        <v>0</v>
      </c>
    </row>
    <row r="384" spans="1:9" ht="17">
      <c r="A384" s="10" t="s">
        <v>833</v>
      </c>
      <c r="B384" s="11" t="s">
        <v>834</v>
      </c>
      <c r="C384" s="17">
        <v>180000</v>
      </c>
      <c r="D384" s="10" t="s">
        <v>835</v>
      </c>
      <c r="E384" s="10"/>
      <c r="F384" s="10">
        <v>2</v>
      </c>
      <c r="G384" s="13">
        <f>SUMIF([1]!Table3[Kode],[1]!Table1[[#This Row],[Kode]],[1]!Table3[Qty])</f>
        <v>0</v>
      </c>
      <c r="H384" s="13">
        <f>SUMIF([1]!Table35[Kode],[1]!Table1[[#This Row],[Kode]],[1]!Table35[Qty])</f>
        <v>2</v>
      </c>
      <c r="I384" s="14">
        <f>[1]!Table1[[#This Row],[Stock Awal]]+[1]!Table1[[#This Row],[Stok Masuk]]-[1]!Table1[[#This Row],[Stok Keluar]]</f>
        <v>0</v>
      </c>
    </row>
    <row r="385" spans="1:9" ht="17">
      <c r="A385" s="46" t="s">
        <v>836</v>
      </c>
      <c r="B385" s="11" t="s">
        <v>837</v>
      </c>
      <c r="C385" s="17">
        <v>60000</v>
      </c>
      <c r="D385" s="10" t="s">
        <v>838</v>
      </c>
      <c r="E385" s="10"/>
      <c r="F385" s="10">
        <v>6</v>
      </c>
      <c r="G385" s="13">
        <f>SUMIF([1]!Table3[Kode],[1]!Table1[[#This Row],[Kode]],[1]!Table3[Qty])</f>
        <v>0</v>
      </c>
      <c r="H385" s="13">
        <f>SUMIF([1]!Table35[Kode],[1]!Table1[[#This Row],[Kode]],[1]!Table35[Qty])</f>
        <v>6</v>
      </c>
      <c r="I385" s="14">
        <f>[1]!Table1[[#This Row],[Stock Awal]]+[1]!Table1[[#This Row],[Stok Masuk]]-[1]!Table1[[#This Row],[Stok Keluar]]</f>
        <v>0</v>
      </c>
    </row>
    <row r="386" spans="1:9" ht="17">
      <c r="A386" s="10" t="s">
        <v>839</v>
      </c>
      <c r="B386" s="11" t="s">
        <v>840</v>
      </c>
      <c r="C386" s="17">
        <v>180000</v>
      </c>
      <c r="D386" s="10" t="s">
        <v>814</v>
      </c>
      <c r="E386" s="10"/>
      <c r="F386" s="10">
        <v>1</v>
      </c>
      <c r="G386" s="13">
        <f>SUMIF([1]!Table3[Kode],[1]!Table1[[#This Row],[Kode]],[1]!Table3[Qty])</f>
        <v>1</v>
      </c>
      <c r="H386" s="13">
        <f>SUMIF([1]!Table35[Kode],[1]!Table1[[#This Row],[Kode]],[1]!Table35[Qty])</f>
        <v>1</v>
      </c>
      <c r="I386" s="14">
        <f>[1]!Table1[[#This Row],[Stock Awal]]+[1]!Table1[[#This Row],[Stok Masuk]]-[1]!Table1[[#This Row],[Stok Keluar]]</f>
        <v>1</v>
      </c>
    </row>
    <row r="387" spans="1:9" ht="17">
      <c r="A387" s="46" t="s">
        <v>841</v>
      </c>
      <c r="B387" s="11" t="s">
        <v>842</v>
      </c>
      <c r="C387" s="17">
        <v>180000</v>
      </c>
      <c r="D387" s="10" t="s">
        <v>814</v>
      </c>
      <c r="E387" s="10"/>
      <c r="F387" s="10">
        <v>3</v>
      </c>
      <c r="G387" s="13">
        <f>SUMIF([1]!Table3[Kode],[1]!Table1[[#This Row],[Kode]],[1]!Table3[Qty])</f>
        <v>16</v>
      </c>
      <c r="H387" s="13">
        <f>SUMIF([1]!Table35[Kode],[1]!Table1[[#This Row],[Kode]],[1]!Table35[Qty])</f>
        <v>10</v>
      </c>
      <c r="I387" s="14">
        <f>[1]!Table1[[#This Row],[Stock Awal]]+[1]!Table1[[#This Row],[Stok Masuk]]-[1]!Table1[[#This Row],[Stok Keluar]]</f>
        <v>9</v>
      </c>
    </row>
    <row r="388" spans="1:9" ht="17">
      <c r="A388" s="10" t="s">
        <v>843</v>
      </c>
      <c r="B388" s="11" t="s">
        <v>844</v>
      </c>
      <c r="C388" s="17">
        <v>180000</v>
      </c>
      <c r="D388" s="10" t="s">
        <v>814</v>
      </c>
      <c r="E388" s="10"/>
      <c r="F388" s="10">
        <v>2</v>
      </c>
      <c r="G388" s="13">
        <f>SUMIF([1]!Table3[Kode],[1]!Table1[[#This Row],[Kode]],[1]!Table3[Qty])</f>
        <v>0</v>
      </c>
      <c r="H388" s="13">
        <f>SUMIF([1]!Table35[Kode],[1]!Table1[[#This Row],[Kode]],[1]!Table35[Qty])</f>
        <v>-1</v>
      </c>
      <c r="I388" s="14">
        <f>[1]!Table1[[#This Row],[Stock Awal]]+[1]!Table1[[#This Row],[Stok Masuk]]-[1]!Table1[[#This Row],[Stok Keluar]]</f>
        <v>3</v>
      </c>
    </row>
    <row r="389" spans="1:9" ht="17">
      <c r="A389" s="46" t="s">
        <v>845</v>
      </c>
      <c r="B389" s="11" t="s">
        <v>846</v>
      </c>
      <c r="C389" s="17">
        <v>280000</v>
      </c>
      <c r="D389" s="10" t="s">
        <v>835</v>
      </c>
      <c r="E389" s="10"/>
      <c r="F389" s="10">
        <v>2</v>
      </c>
      <c r="G389" s="13">
        <f>SUMIF([1]!Table3[Kode],[1]!Table1[[#This Row],[Kode]],[1]!Table3[Qty])</f>
        <v>0</v>
      </c>
      <c r="H389" s="13">
        <f>SUMIF([1]!Table35[Kode],[1]!Table1[[#This Row],[Kode]],[1]!Table35[Qty])</f>
        <v>2</v>
      </c>
      <c r="I389" s="14">
        <f>[1]!Table1[[#This Row],[Stock Awal]]+[1]!Table1[[#This Row],[Stok Masuk]]-[1]!Table1[[#This Row],[Stok Keluar]]</f>
        <v>0</v>
      </c>
    </row>
    <row r="390" spans="1:9" ht="17">
      <c r="A390" s="10" t="s">
        <v>847</v>
      </c>
      <c r="B390" s="11" t="s">
        <v>848</v>
      </c>
      <c r="C390" s="17">
        <v>280000</v>
      </c>
      <c r="D390" s="10" t="s">
        <v>835</v>
      </c>
      <c r="E390" s="10"/>
      <c r="F390" s="10">
        <v>2</v>
      </c>
      <c r="G390" s="13">
        <f>SUMIF([1]!Table3[Kode],[1]!Table1[[#This Row],[Kode]],[1]!Table3[Qty])</f>
        <v>0</v>
      </c>
      <c r="H390" s="13">
        <f>SUMIF([1]!Table35[Kode],[1]!Table1[[#This Row],[Kode]],[1]!Table35[Qty])</f>
        <v>2</v>
      </c>
      <c r="I390" s="14">
        <f>[1]!Table1[[#This Row],[Stock Awal]]+[1]!Table1[[#This Row],[Stok Masuk]]-[1]!Table1[[#This Row],[Stok Keluar]]</f>
        <v>0</v>
      </c>
    </row>
    <row r="391" spans="1:9" ht="34">
      <c r="A391" s="46" t="s">
        <v>849</v>
      </c>
      <c r="B391" s="11" t="s">
        <v>850</v>
      </c>
      <c r="C391" s="17">
        <v>400000</v>
      </c>
      <c r="D391" s="10" t="s">
        <v>814</v>
      </c>
      <c r="E391" s="10"/>
      <c r="F391" s="10">
        <v>2</v>
      </c>
      <c r="G391" s="13">
        <f>SUMIF([1]!Table3[Kode],[1]!Table1[[#This Row],[Kode]],[1]!Table3[Qty])</f>
        <v>0</v>
      </c>
      <c r="H391" s="13">
        <f>SUMIF([1]!Table35[Kode],[1]!Table1[[#This Row],[Kode]],[1]!Table35[Qty])</f>
        <v>2</v>
      </c>
      <c r="I391" s="14">
        <f>[1]!Table1[[#This Row],[Stock Awal]]+[1]!Table1[[#This Row],[Stok Masuk]]-[1]!Table1[[#This Row],[Stok Keluar]]</f>
        <v>0</v>
      </c>
    </row>
    <row r="392" spans="1:9" ht="17">
      <c r="A392" s="46" t="s">
        <v>851</v>
      </c>
      <c r="B392" s="11" t="s">
        <v>852</v>
      </c>
      <c r="C392" s="17">
        <v>220000</v>
      </c>
      <c r="D392" s="47" t="s">
        <v>853</v>
      </c>
      <c r="E392" s="10"/>
      <c r="F392" s="10"/>
      <c r="G392" s="13">
        <f>SUMIF([1]!Table3[Kode],[1]!Table1[[#This Row],[Kode]],[1]!Table3[Qty])</f>
        <v>5</v>
      </c>
      <c r="H392" s="13">
        <f>SUMIF([1]!Table35[Kode],[1]!Table1[[#This Row],[Kode]],[1]!Table35[Qty])</f>
        <v>3</v>
      </c>
      <c r="I392" s="14">
        <f>[1]!Table1[[#This Row],[Stock Awal]]+[1]!Table1[[#This Row],[Stok Masuk]]-[1]!Table1[[#This Row],[Stok Keluar]]</f>
        <v>2</v>
      </c>
    </row>
    <row r="393" spans="1:9" ht="17">
      <c r="A393" s="46" t="s">
        <v>854</v>
      </c>
      <c r="B393" s="11" t="s">
        <v>855</v>
      </c>
      <c r="C393" s="17">
        <v>220000</v>
      </c>
      <c r="D393" s="47" t="s">
        <v>853</v>
      </c>
      <c r="E393" s="10"/>
      <c r="F393" s="10"/>
      <c r="G393" s="13">
        <f>SUMIF([1]!Table3[Kode],[1]!Table1[[#This Row],[Kode]],[1]!Table3[Qty])</f>
        <v>2</v>
      </c>
      <c r="H393" s="13">
        <f>SUMIF([1]!Table35[Kode],[1]!Table1[[#This Row],[Kode]],[1]!Table35[Qty])</f>
        <v>2</v>
      </c>
      <c r="I393" s="14">
        <f>[1]!Table1[[#This Row],[Stock Awal]]+[1]!Table1[[#This Row],[Stok Masuk]]-[1]!Table1[[#This Row],[Stok Keluar]]</f>
        <v>0</v>
      </c>
    </row>
    <row r="394" spans="1:9" ht="17">
      <c r="A394" s="46" t="s">
        <v>856</v>
      </c>
      <c r="B394" s="11" t="s">
        <v>857</v>
      </c>
      <c r="C394" s="17">
        <v>220000</v>
      </c>
      <c r="D394" s="47" t="s">
        <v>853</v>
      </c>
      <c r="E394" s="10"/>
      <c r="F394" s="10"/>
      <c r="G394" s="13">
        <f>SUMIF([1]!Table3[Kode],[1]!Table1[[#This Row],[Kode]],[1]!Table3[Qty])</f>
        <v>2</v>
      </c>
      <c r="H394" s="13">
        <f>SUMIF([1]!Table35[Kode],[1]!Table1[[#This Row],[Kode]],[1]!Table35[Qty])</f>
        <v>2</v>
      </c>
      <c r="I394" s="14">
        <f>[1]!Table1[[#This Row],[Stock Awal]]+[1]!Table1[[#This Row],[Stok Masuk]]-[1]!Table1[[#This Row],[Stok Keluar]]</f>
        <v>0</v>
      </c>
    </row>
    <row r="395" spans="1:9" ht="17">
      <c r="A395" s="46" t="s">
        <v>858</v>
      </c>
      <c r="B395" s="11" t="s">
        <v>859</v>
      </c>
      <c r="C395" s="17">
        <v>165000</v>
      </c>
      <c r="D395" s="47" t="s">
        <v>814</v>
      </c>
      <c r="E395" s="10"/>
      <c r="F395" s="10"/>
      <c r="G395" s="13">
        <f>SUMIF([1]!Table3[Kode],[1]!Table1[[#This Row],[Kode]],[1]!Table3[Qty])</f>
        <v>11</v>
      </c>
      <c r="H395" s="13">
        <f>SUMIF([1]!Table35[Kode],[1]!Table1[[#This Row],[Kode]],[1]!Table35[Qty])</f>
        <v>4</v>
      </c>
      <c r="I395" s="14">
        <f>[1]!Table1[[#This Row],[Stock Awal]]+[1]!Table1[[#This Row],[Stok Masuk]]-[1]!Table1[[#This Row],[Stok Keluar]]</f>
        <v>7</v>
      </c>
    </row>
    <row r="396" spans="1:9" ht="17">
      <c r="A396" s="46" t="s">
        <v>860</v>
      </c>
      <c r="B396" s="11" t="s">
        <v>861</v>
      </c>
      <c r="C396" s="17">
        <v>165000</v>
      </c>
      <c r="D396" s="47" t="s">
        <v>814</v>
      </c>
      <c r="E396" s="10"/>
      <c r="F396" s="10"/>
      <c r="G396" s="13">
        <f>SUMIF([1]!Table3[Kode],[1]!Table1[[#This Row],[Kode]],[1]!Table3[Qty])</f>
        <v>22</v>
      </c>
      <c r="H396" s="13">
        <f>SUMIF([1]!Table35[Kode],[1]!Table1[[#This Row],[Kode]],[1]!Table35[Qty])</f>
        <v>14</v>
      </c>
      <c r="I396" s="14">
        <f>[1]!Table1[[#This Row],[Stock Awal]]+[1]!Table1[[#This Row],[Stok Masuk]]-[1]!Table1[[#This Row],[Stok Keluar]]</f>
        <v>8</v>
      </c>
    </row>
    <row r="397" spans="1:9" ht="17">
      <c r="A397" s="46" t="s">
        <v>862</v>
      </c>
      <c r="B397" s="11" t="s">
        <v>863</v>
      </c>
      <c r="C397" s="17">
        <v>180000</v>
      </c>
      <c r="D397" s="47" t="s">
        <v>814</v>
      </c>
      <c r="E397" s="10"/>
      <c r="F397" s="10"/>
      <c r="G397" s="13">
        <f>SUMIF([1]!Table3[Kode],[1]!Table1[[#This Row],[Kode]],[1]!Table3[Qty])</f>
        <v>3</v>
      </c>
      <c r="H397" s="13">
        <f>SUMIF([1]!Table35[Kode],[1]!Table1[[#This Row],[Kode]],[1]!Table35[Qty])</f>
        <v>-7</v>
      </c>
      <c r="I397" s="14">
        <f>[1]!Table1[[#This Row],[Stock Awal]]+[1]!Table1[[#This Row],[Stok Masuk]]-[1]!Table1[[#This Row],[Stok Keluar]]</f>
        <v>10</v>
      </c>
    </row>
    <row r="398" spans="1:9" ht="17">
      <c r="A398" s="46" t="s">
        <v>864</v>
      </c>
      <c r="B398" s="11" t="s">
        <v>865</v>
      </c>
      <c r="C398" s="17">
        <v>165000</v>
      </c>
      <c r="D398" s="47" t="s">
        <v>814</v>
      </c>
      <c r="E398" s="10"/>
      <c r="F398" s="10"/>
      <c r="G398" s="13">
        <f>SUMIF([1]!Table3[Kode],[1]!Table1[[#This Row],[Kode]],[1]!Table3[Qty])</f>
        <v>30</v>
      </c>
      <c r="H398" s="13">
        <f>SUMIF([1]!Table35[Kode],[1]!Table1[[#This Row],[Kode]],[1]!Table35[Qty])</f>
        <v>15</v>
      </c>
      <c r="I398" s="14">
        <f>[1]!Table1[[#This Row],[Stock Awal]]+[1]!Table1[[#This Row],[Stok Masuk]]-[1]!Table1[[#This Row],[Stok Keluar]]</f>
        <v>15</v>
      </c>
    </row>
    <row r="399" spans="1:9" ht="17">
      <c r="A399" s="46" t="s">
        <v>866</v>
      </c>
      <c r="B399" s="11" t="s">
        <v>867</v>
      </c>
      <c r="C399" s="17">
        <v>165000</v>
      </c>
      <c r="D399" s="47"/>
      <c r="E399" s="10"/>
      <c r="F399" s="10"/>
      <c r="G399" s="13">
        <f>SUMIF([1]!Table3[Kode],[1]!Table1[[#This Row],[Kode]],[1]!Table3[Qty])</f>
        <v>2</v>
      </c>
      <c r="H399" s="13">
        <f>SUMIF([1]!Table35[Kode],[1]!Table1[[#This Row],[Kode]],[1]!Table35[Qty])</f>
        <v>2</v>
      </c>
      <c r="I399" s="14">
        <f>[1]!Table1[[#This Row],[Stock Awal]]+[1]!Table1[[#This Row],[Stok Masuk]]-[1]!Table1[[#This Row],[Stok Keluar]]</f>
        <v>0</v>
      </c>
    </row>
    <row r="400" spans="1:9" ht="17">
      <c r="A400" s="46" t="s">
        <v>868</v>
      </c>
      <c r="B400" s="11" t="s">
        <v>869</v>
      </c>
      <c r="C400" s="17">
        <v>220000</v>
      </c>
      <c r="D400" s="47" t="s">
        <v>853</v>
      </c>
      <c r="E400" s="10"/>
      <c r="F400" s="10"/>
      <c r="G400" s="13">
        <f>SUMIF([1]!Table3[Kode],[1]!Table1[[#This Row],[Kode]],[1]!Table3[Qty])</f>
        <v>1</v>
      </c>
      <c r="H400" s="13">
        <f>SUMIF([1]!Table35[Kode],[1]!Table1[[#This Row],[Kode]],[1]!Table35[Qty])</f>
        <v>0</v>
      </c>
      <c r="I400" s="14">
        <f>[1]!Table1[[#This Row],[Stock Awal]]+[1]!Table1[[#This Row],[Stok Masuk]]-[1]!Table1[[#This Row],[Stok Keluar]]</f>
        <v>1</v>
      </c>
    </row>
    <row r="401" spans="1:9" ht="17">
      <c r="A401" s="10" t="s">
        <v>870</v>
      </c>
      <c r="B401" s="48" t="s">
        <v>871</v>
      </c>
      <c r="C401" s="17">
        <v>600000</v>
      </c>
      <c r="D401" s="10" t="s">
        <v>872</v>
      </c>
      <c r="E401" s="10"/>
      <c r="F401" s="10"/>
      <c r="G401" s="13">
        <f>SUMIF([1]!Table3[Kode],[1]!Table1[[#This Row],[Kode]],[1]!Table3[Qty])</f>
        <v>4</v>
      </c>
      <c r="H401" s="13">
        <f>SUMIF([1]!Table35[Kode],[1]!Table1[[#This Row],[Kode]],[1]!Table35[Qty])</f>
        <v>3</v>
      </c>
      <c r="I401" s="14">
        <f>[1]!Table1[[#This Row],[Stock Awal]]+[1]!Table1[[#This Row],[Stok Masuk]]-[1]!Table1[[#This Row],[Stok Keluar]]</f>
        <v>1</v>
      </c>
    </row>
    <row r="402" spans="1:9" ht="17">
      <c r="A402" s="10" t="s">
        <v>873</v>
      </c>
      <c r="B402" s="48" t="s">
        <v>874</v>
      </c>
      <c r="C402" s="17">
        <v>600000</v>
      </c>
      <c r="D402" s="10" t="s">
        <v>872</v>
      </c>
      <c r="E402" s="10"/>
      <c r="F402" s="10"/>
      <c r="G402" s="13">
        <f>SUMIF([1]!Table3[Kode],[1]!Table1[[#This Row],[Kode]],[1]!Table3[Qty])</f>
        <v>5</v>
      </c>
      <c r="H402" s="13">
        <f>SUMIF([1]!Table35[Kode],[1]!Table1[[#This Row],[Kode]],[1]!Table35[Qty])</f>
        <v>3</v>
      </c>
      <c r="I402" s="14">
        <f>[1]!Table1[[#This Row],[Stock Awal]]+[1]!Table1[[#This Row],[Stok Masuk]]-[1]!Table1[[#This Row],[Stok Keluar]]</f>
        <v>2</v>
      </c>
    </row>
    <row r="403" spans="1:9" ht="17">
      <c r="A403" s="10" t="s">
        <v>875</v>
      </c>
      <c r="B403" s="48" t="s">
        <v>876</v>
      </c>
      <c r="C403" s="17">
        <v>600000</v>
      </c>
      <c r="D403" s="10" t="s">
        <v>872</v>
      </c>
      <c r="E403" s="10"/>
      <c r="F403" s="10"/>
      <c r="G403" s="13">
        <f>SUMIF([1]!Table3[Kode],[1]!Table1[[#This Row],[Kode]],[1]!Table3[Qty])</f>
        <v>6</v>
      </c>
      <c r="H403" s="13">
        <f>SUMIF([1]!Table35[Kode],[1]!Table1[[#This Row],[Kode]],[1]!Table35[Qty])</f>
        <v>3</v>
      </c>
      <c r="I403" s="14">
        <f>[1]!Table1[[#This Row],[Stock Awal]]+[1]!Table1[[#This Row],[Stok Masuk]]-[1]!Table1[[#This Row],[Stok Keluar]]</f>
        <v>3</v>
      </c>
    </row>
    <row r="404" spans="1:9" ht="17">
      <c r="A404" s="10" t="s">
        <v>877</v>
      </c>
      <c r="B404" s="48" t="s">
        <v>878</v>
      </c>
      <c r="C404" s="17">
        <v>600000</v>
      </c>
      <c r="D404" s="10" t="s">
        <v>872</v>
      </c>
      <c r="E404" s="10"/>
      <c r="F404" s="10"/>
      <c r="G404" s="13">
        <f>SUMIF([1]!Table3[Kode],[1]!Table1[[#This Row],[Kode]],[1]!Table3[Qty])</f>
        <v>3</v>
      </c>
      <c r="H404" s="13">
        <f>SUMIF([1]!Table35[Kode],[1]!Table1[[#This Row],[Kode]],[1]!Table35[Qty])</f>
        <v>3</v>
      </c>
      <c r="I404" s="14">
        <f>[1]!Table1[[#This Row],[Stock Awal]]+[1]!Table1[[#This Row],[Stok Masuk]]-[1]!Table1[[#This Row],[Stok Keluar]]</f>
        <v>0</v>
      </c>
    </row>
    <row r="405" spans="1:9" ht="34">
      <c r="A405" s="10" t="s">
        <v>879</v>
      </c>
      <c r="B405" s="48" t="s">
        <v>880</v>
      </c>
      <c r="C405" s="17">
        <v>520000</v>
      </c>
      <c r="D405" s="10" t="s">
        <v>881</v>
      </c>
      <c r="E405" s="10"/>
      <c r="F405" s="10"/>
      <c r="G405" s="13">
        <f>SUMIF([1]!Table3[Kode],[1]!Table1[[#This Row],[Kode]],[1]!Table3[Qty])</f>
        <v>6</v>
      </c>
      <c r="H405" s="13">
        <f>SUMIF([1]!Table35[Kode],[1]!Table1[[#This Row],[Kode]],[1]!Table35[Qty])</f>
        <v>1</v>
      </c>
      <c r="I405" s="14">
        <f>[1]!Table1[[#This Row],[Stock Awal]]+[1]!Table1[[#This Row],[Stok Masuk]]-[1]!Table1[[#This Row],[Stok Keluar]]</f>
        <v>5</v>
      </c>
    </row>
    <row r="406" spans="1:9" ht="34">
      <c r="A406" s="26" t="s">
        <v>882</v>
      </c>
      <c r="B406" s="49" t="s">
        <v>883</v>
      </c>
      <c r="C406" s="28">
        <v>500000</v>
      </c>
      <c r="D406" s="26" t="s">
        <v>884</v>
      </c>
      <c r="E406" s="26"/>
      <c r="F406" s="26"/>
      <c r="G406" s="13">
        <f>SUMIF([1]!Table3[Kode],[1]!Table1[[#This Row],[Kode]],[1]!Table3[Qty])</f>
        <v>6</v>
      </c>
      <c r="H406" s="13">
        <f>SUMIF([1]!Table35[Kode],[1]!Table1[[#This Row],[Kode]],[1]!Table35[Qty])</f>
        <v>6</v>
      </c>
      <c r="I406" s="30">
        <f>[1]!Table1[[#This Row],[Stock Awal]]+[1]!Table1[[#This Row],[Stok Masuk]]-[1]!Table1[[#This Row],[Stok Keluar]]</f>
        <v>0</v>
      </c>
    </row>
    <row r="407" spans="1:9" ht="17">
      <c r="A407" s="26" t="s">
        <v>885</v>
      </c>
      <c r="B407" s="27" t="s">
        <v>886</v>
      </c>
      <c r="C407" s="28">
        <v>600000</v>
      </c>
      <c r="D407" s="10" t="s">
        <v>872</v>
      </c>
      <c r="E407" s="26"/>
      <c r="F407" s="26"/>
      <c r="G407" s="29">
        <f>SUMIF([1]!Table3[Kode],[1]!Table1[[#This Row],[Kode]],[1]!Table3[Qty])</f>
        <v>2</v>
      </c>
      <c r="H407" s="29">
        <f>SUMIF([1]!Table35[Kode],[1]!Table1[[#This Row],[Kode]],[1]!Table35[Qty])</f>
        <v>1</v>
      </c>
      <c r="I407" s="30">
        <f>[1]!Table1[[#This Row],[Stock Awal]]+[1]!Table1[[#This Row],[Stok Masuk]]-[1]!Table1[[#This Row],[Stok Keluar]]</f>
        <v>1</v>
      </c>
    </row>
    <row r="408" spans="1:9" ht="17">
      <c r="A408" s="10" t="s">
        <v>887</v>
      </c>
      <c r="B408" s="11" t="s">
        <v>888</v>
      </c>
      <c r="C408" s="17">
        <v>160000</v>
      </c>
      <c r="D408" s="10" t="s">
        <v>889</v>
      </c>
      <c r="E408" s="10" t="s">
        <v>890</v>
      </c>
      <c r="F408" s="10">
        <v>2</v>
      </c>
      <c r="G408" s="13">
        <f>SUMIF([1]!Table3[Kode],[1]!Table1[[#This Row],[Kode]],[1]!Table3[Qty])</f>
        <v>16</v>
      </c>
      <c r="H408" s="13">
        <f>SUMIF([1]!Table35[Kode],[1]!Table1[[#This Row],[Kode]],[1]!Table35[Qty])</f>
        <v>13</v>
      </c>
      <c r="I408" s="14">
        <f>[1]!Table1[[#This Row],[Stock Awal]]+[1]!Table1[[#This Row],[Stok Masuk]]-[1]!Table1[[#This Row],[Stok Keluar]]</f>
        <v>5</v>
      </c>
    </row>
    <row r="409" spans="1:9" ht="17">
      <c r="A409" s="10" t="s">
        <v>891</v>
      </c>
      <c r="B409" s="11" t="s">
        <v>892</v>
      </c>
      <c r="C409" s="17">
        <v>160000</v>
      </c>
      <c r="D409" s="10" t="s">
        <v>889</v>
      </c>
      <c r="E409" s="10" t="s">
        <v>890</v>
      </c>
      <c r="F409" s="10"/>
      <c r="G409" s="13">
        <f>SUMIF([1]!Table3[Kode],[1]!Table1[[#This Row],[Kode]],[1]!Table3[Qty])</f>
        <v>22</v>
      </c>
      <c r="H409" s="13">
        <f>SUMIF([1]!Table35[Kode],[1]!Table1[[#This Row],[Kode]],[1]!Table35[Qty])</f>
        <v>17</v>
      </c>
      <c r="I409" s="14">
        <f>[1]!Table1[[#This Row],[Stock Awal]]+[1]!Table1[[#This Row],[Stok Masuk]]-[1]!Table1[[#This Row],[Stok Keluar]]</f>
        <v>5</v>
      </c>
    </row>
    <row r="410" spans="1:9" ht="17">
      <c r="A410" s="10" t="s">
        <v>893</v>
      </c>
      <c r="B410" s="11" t="s">
        <v>894</v>
      </c>
      <c r="C410" s="17">
        <v>160000</v>
      </c>
      <c r="D410" s="10" t="s">
        <v>889</v>
      </c>
      <c r="E410" s="10" t="s">
        <v>890</v>
      </c>
      <c r="F410" s="10"/>
      <c r="G410" s="13">
        <f>SUMIF([1]!Table3[Kode],[1]!Table1[[#This Row],[Kode]],[1]!Table3[Qty])</f>
        <v>14</v>
      </c>
      <c r="H410" s="13">
        <f>SUMIF([1]!Table35[Kode],[1]!Table1[[#This Row],[Kode]],[1]!Table35[Qty])</f>
        <v>12</v>
      </c>
      <c r="I410" s="14">
        <f>[1]!Table1[[#This Row],[Stock Awal]]+[1]!Table1[[#This Row],[Stok Masuk]]-[1]!Table1[[#This Row],[Stok Keluar]]</f>
        <v>2</v>
      </c>
    </row>
    <row r="411" spans="1:9" ht="17">
      <c r="A411" s="10" t="s">
        <v>895</v>
      </c>
      <c r="B411" s="11" t="s">
        <v>896</v>
      </c>
      <c r="C411" s="17">
        <v>160000</v>
      </c>
      <c r="D411" s="10" t="s">
        <v>889</v>
      </c>
      <c r="E411" s="10" t="s">
        <v>890</v>
      </c>
      <c r="F411" s="10">
        <v>2</v>
      </c>
      <c r="G411" s="13">
        <f>SUMIF([1]!Table3[Kode],[1]!Table1[[#This Row],[Kode]],[1]!Table3[Qty])</f>
        <v>17</v>
      </c>
      <c r="H411" s="13">
        <f>SUMIF([1]!Table35[Kode],[1]!Table1[[#This Row],[Kode]],[1]!Table35[Qty])</f>
        <v>11</v>
      </c>
      <c r="I411" s="14">
        <f>[1]!Table1[[#This Row],[Stock Awal]]+[1]!Table1[[#This Row],[Stok Masuk]]-[1]!Table1[[#This Row],[Stok Keluar]]</f>
        <v>8</v>
      </c>
    </row>
    <row r="412" spans="1:9" ht="17">
      <c r="A412" s="10" t="s">
        <v>897</v>
      </c>
      <c r="B412" s="11" t="s">
        <v>898</v>
      </c>
      <c r="C412" s="17">
        <v>160000</v>
      </c>
      <c r="D412" s="10" t="s">
        <v>889</v>
      </c>
      <c r="E412" s="10" t="s">
        <v>890</v>
      </c>
      <c r="F412" s="10">
        <v>1</v>
      </c>
      <c r="G412" s="13">
        <f>SUMIF([1]!Table3[Kode],[1]!Table1[[#This Row],[Kode]],[1]!Table3[Qty])</f>
        <v>4</v>
      </c>
      <c r="H412" s="13">
        <f>SUMIF([1]!Table35[Kode],[1]!Table1[[#This Row],[Kode]],[1]!Table35[Qty])</f>
        <v>1</v>
      </c>
      <c r="I412" s="14">
        <f>[1]!Table1[[#This Row],[Stock Awal]]+[1]!Table1[[#This Row],[Stok Masuk]]-[1]!Table1[[#This Row],[Stok Keluar]]</f>
        <v>4</v>
      </c>
    </row>
    <row r="413" spans="1:9" ht="34">
      <c r="A413" s="10" t="s">
        <v>899</v>
      </c>
      <c r="B413" s="11" t="s">
        <v>900</v>
      </c>
      <c r="C413" s="17">
        <v>160000</v>
      </c>
      <c r="D413" s="10" t="s">
        <v>889</v>
      </c>
      <c r="E413" s="10" t="s">
        <v>890</v>
      </c>
      <c r="F413" s="10"/>
      <c r="G413" s="13">
        <f>SUMIF([1]!Table3[Kode],[1]!Table1[[#This Row],[Kode]],[1]!Table3[Qty])</f>
        <v>3</v>
      </c>
      <c r="H413" s="13">
        <f>SUMIF([1]!Table35[Kode],[1]!Table1[[#This Row],[Kode]],[1]!Table35[Qty])</f>
        <v>0</v>
      </c>
      <c r="I413" s="14">
        <f>[1]!Table1[[#This Row],[Stock Awal]]+[1]!Table1[[#This Row],[Stok Masuk]]-[1]!Table1[[#This Row],[Stok Keluar]]</f>
        <v>3</v>
      </c>
    </row>
    <row r="414" spans="1:9" ht="17">
      <c r="A414" s="10" t="s">
        <v>901</v>
      </c>
      <c r="B414" s="11" t="s">
        <v>902</v>
      </c>
      <c r="C414" s="17">
        <v>160000</v>
      </c>
      <c r="D414" s="10" t="s">
        <v>889</v>
      </c>
      <c r="E414" s="10" t="s">
        <v>890</v>
      </c>
      <c r="F414" s="10"/>
      <c r="G414" s="13">
        <f>SUMIF([1]!Table3[Kode],[1]!Table1[[#This Row],[Kode]],[1]!Table3[Qty])</f>
        <v>1</v>
      </c>
      <c r="H414" s="13">
        <f>SUMIF([1]!Table35[Kode],[1]!Table1[[#This Row],[Kode]],[1]!Table35[Qty])</f>
        <v>0</v>
      </c>
      <c r="I414" s="14">
        <f>[1]!Table1[[#This Row],[Stock Awal]]+[1]!Table1[[#This Row],[Stok Masuk]]-[1]!Table1[[#This Row],[Stok Keluar]]</f>
        <v>1</v>
      </c>
    </row>
    <row r="415" spans="1:9" ht="17">
      <c r="A415" s="10" t="s">
        <v>903</v>
      </c>
      <c r="B415" s="11" t="s">
        <v>904</v>
      </c>
      <c r="C415" s="17">
        <v>160000</v>
      </c>
      <c r="D415" s="10" t="s">
        <v>889</v>
      </c>
      <c r="E415" s="10"/>
      <c r="F415" s="10"/>
      <c r="G415" s="13">
        <f>SUMIF([1]!Table3[Kode],[1]!Table1[[#This Row],[Kode]],[1]!Table3[Qty])</f>
        <v>3</v>
      </c>
      <c r="H415" s="13">
        <f>SUMIF([1]!Table35[Kode],[1]!Table1[[#This Row],[Kode]],[1]!Table35[Qty])</f>
        <v>0</v>
      </c>
      <c r="I415" s="14">
        <f>[1]!Table1[[#This Row],[Stock Awal]]+[1]!Table1[[#This Row],[Stok Masuk]]-[1]!Table1[[#This Row],[Stok Keluar]]</f>
        <v>3</v>
      </c>
    </row>
    <row r="416" spans="1:9" ht="17">
      <c r="A416" s="10" t="s">
        <v>905</v>
      </c>
      <c r="B416" s="11" t="s">
        <v>906</v>
      </c>
      <c r="C416" s="17">
        <v>160000</v>
      </c>
      <c r="D416" s="10" t="s">
        <v>889</v>
      </c>
      <c r="E416" s="10"/>
      <c r="F416" s="10"/>
      <c r="G416" s="13">
        <f>SUMIF([1]!Table3[Kode],[1]!Table1[[#This Row],[Kode]],[1]!Table3[Qty])</f>
        <v>0</v>
      </c>
      <c r="H416" s="13">
        <f>SUMIF([1]!Table35[Kode],[1]!Table1[[#This Row],[Kode]],[1]!Table35[Qty])</f>
        <v>-2</v>
      </c>
      <c r="I416" s="14">
        <f>[1]!Table1[[#This Row],[Stock Awal]]+[1]!Table1[[#This Row],[Stok Masuk]]-[1]!Table1[[#This Row],[Stok Keluar]]</f>
        <v>2</v>
      </c>
    </row>
    <row r="417" spans="1:9" ht="17">
      <c r="A417" s="10" t="s">
        <v>907</v>
      </c>
      <c r="B417" s="11" t="s">
        <v>908</v>
      </c>
      <c r="C417" s="17">
        <v>50000</v>
      </c>
      <c r="D417" s="10"/>
      <c r="E417" s="10" t="s">
        <v>890</v>
      </c>
      <c r="F417" s="10">
        <v>51</v>
      </c>
      <c r="G417" s="13">
        <f>SUMIF([1]!Table3[Kode],[1]!Table1[[#This Row],[Kode]],[1]!Table3[Qty])</f>
        <v>19</v>
      </c>
      <c r="H417" s="13">
        <f>SUMIF([1]!Table35[Kode],[1]!Table1[[#This Row],[Kode]],[1]!Table35[Qty])</f>
        <v>66</v>
      </c>
      <c r="I417" s="14">
        <f>[1]!Table1[[#This Row],[Stock Awal]]+[1]!Table1[[#This Row],[Stok Masuk]]-[1]!Table1[[#This Row],[Stok Keluar]]</f>
        <v>4</v>
      </c>
    </row>
    <row r="418" spans="1:9" ht="17">
      <c r="A418" s="10" t="s">
        <v>909</v>
      </c>
      <c r="B418" s="11" t="s">
        <v>910</v>
      </c>
      <c r="C418" s="17">
        <v>50000</v>
      </c>
      <c r="D418" s="10"/>
      <c r="E418" s="10" t="s">
        <v>890</v>
      </c>
      <c r="F418" s="26">
        <v>9</v>
      </c>
      <c r="G418" s="13">
        <f>SUMIF([1]!Table3[Kode],[1]!Table1[[#This Row],[Kode]],[1]!Table3[Qty])</f>
        <v>33</v>
      </c>
      <c r="H418" s="13">
        <f>SUMIF([1]!Table35[Kode],[1]!Table1[[#This Row],[Kode]],[1]!Table35[Qty])</f>
        <v>35</v>
      </c>
      <c r="I418" s="30">
        <f>[1]!Table1[[#This Row],[Stock Awal]]+[1]!Table1[[#This Row],[Stok Masuk]]-[1]!Table1[[#This Row],[Stok Keluar]]</f>
        <v>7</v>
      </c>
    </row>
    <row r="419" spans="1:9" ht="17">
      <c r="A419" s="10" t="s">
        <v>911</v>
      </c>
      <c r="B419" s="11" t="s">
        <v>912</v>
      </c>
      <c r="C419" s="17">
        <v>50000</v>
      </c>
      <c r="D419" s="10"/>
      <c r="E419" s="10" t="s">
        <v>890</v>
      </c>
      <c r="F419" s="26">
        <v>2</v>
      </c>
      <c r="G419" s="50">
        <f>SUMIF([1]!Table3[Kode],[1]!Table1[[#This Row],[Kode]],[1]!Table3[Qty])</f>
        <v>13</v>
      </c>
      <c r="H419" s="50">
        <f>SUMIF([1]!Table35[Kode],[1]!Table1[[#This Row],[Kode]],[1]!Table35[Qty])</f>
        <v>14</v>
      </c>
      <c r="I419" s="51">
        <f>[1]!Table1[[#This Row],[Stock Awal]]+[1]!Table1[[#This Row],[Stok Masuk]]-[1]!Table1[[#This Row],[Stok Keluar]]</f>
        <v>1</v>
      </c>
    </row>
    <row r="420" spans="1:9" ht="17">
      <c r="A420" s="10" t="s">
        <v>913</v>
      </c>
      <c r="B420" s="11" t="s">
        <v>914</v>
      </c>
      <c r="C420" s="17">
        <v>50000</v>
      </c>
      <c r="D420" s="10"/>
      <c r="E420" s="10" t="s">
        <v>890</v>
      </c>
      <c r="F420" s="26">
        <v>1</v>
      </c>
      <c r="G420" s="13">
        <f>SUMIF([1]!Table3[Kode],[1]!Table1[[#This Row],[Kode]],[1]!Table3[Qty])</f>
        <v>14</v>
      </c>
      <c r="H420" s="13">
        <f>SUMIF([1]!Table35[Kode],[1]!Table1[[#This Row],[Kode]],[1]!Table35[Qty])</f>
        <v>13</v>
      </c>
      <c r="I420" s="30">
        <f>[1]!Table1[[#This Row],[Stock Awal]]+[1]!Table1[[#This Row],[Stok Masuk]]-[1]!Table1[[#This Row],[Stok Keluar]]</f>
        <v>2</v>
      </c>
    </row>
    <row r="421" spans="1:9" ht="17">
      <c r="A421" s="10" t="s">
        <v>915</v>
      </c>
      <c r="B421" s="11" t="s">
        <v>916</v>
      </c>
      <c r="C421" s="17">
        <v>50000</v>
      </c>
      <c r="D421" s="10"/>
      <c r="E421" s="10" t="s">
        <v>890</v>
      </c>
      <c r="F421" s="26"/>
      <c r="G421" s="13">
        <f>SUMIF([1]!Table3[Kode],[1]!Table1[[#This Row],[Kode]],[1]!Table3[Qty])</f>
        <v>6</v>
      </c>
      <c r="H421" s="13">
        <f>SUMIF([1]!Table35[Kode],[1]!Table1[[#This Row],[Kode]],[1]!Table35[Qty])</f>
        <v>3</v>
      </c>
      <c r="I421" s="30">
        <f>[1]!Table1[[#This Row],[Stock Awal]]+[1]!Table1[[#This Row],[Stok Masuk]]-[1]!Table1[[#This Row],[Stok Keluar]]</f>
        <v>3</v>
      </c>
    </row>
    <row r="422" spans="1:9" ht="17">
      <c r="A422" s="26" t="s">
        <v>917</v>
      </c>
      <c r="B422" s="27" t="s">
        <v>918</v>
      </c>
      <c r="C422" s="17">
        <v>50000</v>
      </c>
      <c r="D422" s="26"/>
      <c r="E422" s="10" t="s">
        <v>890</v>
      </c>
      <c r="F422" s="26">
        <v>1</v>
      </c>
      <c r="G422" s="13">
        <f>SUMIF([1]!Table3[Kode],[1]!Table1[[#This Row],[Kode]],[1]!Table3[Qty])</f>
        <v>5</v>
      </c>
      <c r="H422" s="13">
        <f>SUMIF([1]!Table35[Kode],[1]!Table1[[#This Row],[Kode]],[1]!Table35[Qty])</f>
        <v>5</v>
      </c>
      <c r="I422" s="30">
        <f>[1]!Table1[[#This Row],[Stock Awal]]+[1]!Table1[[#This Row],[Stok Masuk]]-[1]!Table1[[#This Row],[Stok Keluar]]</f>
        <v>1</v>
      </c>
    </row>
    <row r="423" spans="1:9" ht="17">
      <c r="A423" s="26" t="s">
        <v>919</v>
      </c>
      <c r="B423" s="27" t="s">
        <v>920</v>
      </c>
      <c r="C423" s="17">
        <v>50000</v>
      </c>
      <c r="D423" s="26"/>
      <c r="E423" s="10" t="s">
        <v>890</v>
      </c>
      <c r="F423" s="26"/>
      <c r="G423" s="13">
        <f>SUMIF([1]!Table3[Kode],[1]!Table1[[#This Row],[Kode]],[1]!Table3[Qty])</f>
        <v>2</v>
      </c>
      <c r="H423" s="13">
        <f>SUMIF([1]!Table35[Kode],[1]!Table1[[#This Row],[Kode]],[1]!Table35[Qty])</f>
        <v>1</v>
      </c>
      <c r="I423" s="30">
        <f>[1]!Table1[[#This Row],[Stock Awal]]+[1]!Table1[[#This Row],[Stok Masuk]]-[1]!Table1[[#This Row],[Stok Keluar]]</f>
        <v>1</v>
      </c>
    </row>
    <row r="424" spans="1:9" ht="17">
      <c r="A424" s="26" t="s">
        <v>921</v>
      </c>
      <c r="B424" s="27" t="s">
        <v>922</v>
      </c>
      <c r="C424" s="17">
        <v>50000</v>
      </c>
      <c r="D424" s="26"/>
      <c r="E424" s="10" t="s">
        <v>890</v>
      </c>
      <c r="F424" s="26"/>
      <c r="G424" s="13">
        <f>SUMIF([1]!Table3[Kode],[1]!Table1[[#This Row],[Kode]],[1]!Table3[Qty])</f>
        <v>4</v>
      </c>
      <c r="H424" s="13">
        <f>SUMIF([1]!Table35[Kode],[1]!Table1[[#This Row],[Kode]],[1]!Table35[Qty])</f>
        <v>3</v>
      </c>
      <c r="I424" s="30">
        <f>[1]!Table1[[#This Row],[Stock Awal]]+[1]!Table1[[#This Row],[Stok Masuk]]-[1]!Table1[[#This Row],[Stok Keluar]]</f>
        <v>1</v>
      </c>
    </row>
    <row r="425" spans="1:9" ht="17">
      <c r="A425" s="26" t="s">
        <v>923</v>
      </c>
      <c r="B425" s="27" t="s">
        <v>924</v>
      </c>
      <c r="C425" s="28">
        <v>30000</v>
      </c>
      <c r="D425" s="26" t="s">
        <v>889</v>
      </c>
      <c r="E425" s="26" t="s">
        <v>925</v>
      </c>
      <c r="F425" s="26">
        <v>4</v>
      </c>
      <c r="G425" s="13">
        <f>SUMIF([1]!Table3[Kode],[1]!Table1[[#This Row],[Kode]],[1]!Table3[Qty])</f>
        <v>95</v>
      </c>
      <c r="H425" s="13">
        <f>SUMIF([1]!Table35[Kode],[1]!Table1[[#This Row],[Kode]],[1]!Table35[Qty])</f>
        <v>79</v>
      </c>
      <c r="I425" s="30">
        <f>[1]!Table1[[#This Row],[Stock Awal]]+[1]!Table1[[#This Row],[Stok Masuk]]-[1]!Table1[[#This Row],[Stok Keluar]]</f>
        <v>20</v>
      </c>
    </row>
    <row r="426" spans="1:9" ht="17">
      <c r="A426" s="26" t="s">
        <v>926</v>
      </c>
      <c r="B426" s="27" t="s">
        <v>927</v>
      </c>
      <c r="C426" s="28">
        <v>30000</v>
      </c>
      <c r="D426" s="26" t="s">
        <v>889</v>
      </c>
      <c r="E426" s="26" t="s">
        <v>925</v>
      </c>
      <c r="F426" s="26">
        <v>3</v>
      </c>
      <c r="G426" s="13">
        <f>SUMIF([1]!Table3[Kode],[1]!Table1[[#This Row],[Kode]],[1]!Table3[Qty])</f>
        <v>130</v>
      </c>
      <c r="H426" s="13">
        <f>SUMIF([1]!Table35[Kode],[1]!Table1[[#This Row],[Kode]],[1]!Table35[Qty])</f>
        <v>102</v>
      </c>
      <c r="I426" s="30">
        <f>[1]!Table1[[#This Row],[Stock Awal]]+[1]!Table1[[#This Row],[Stok Masuk]]-[1]!Table1[[#This Row],[Stok Keluar]]</f>
        <v>31</v>
      </c>
    </row>
    <row r="427" spans="1:9" ht="17">
      <c r="A427" s="26" t="s">
        <v>928</v>
      </c>
      <c r="B427" s="27" t="s">
        <v>929</v>
      </c>
      <c r="C427" s="28">
        <v>30000</v>
      </c>
      <c r="D427" s="26" t="s">
        <v>889</v>
      </c>
      <c r="E427" s="26" t="s">
        <v>925</v>
      </c>
      <c r="F427" s="26"/>
      <c r="G427" s="13">
        <f>SUMIF([1]!Table3[Kode],[1]!Table1[[#This Row],[Kode]],[1]!Table3[Qty])</f>
        <v>13</v>
      </c>
      <c r="H427" s="13">
        <f>SUMIF([1]!Table35[Kode],[1]!Table1[[#This Row],[Kode]],[1]!Table35[Qty])</f>
        <v>13</v>
      </c>
      <c r="I427" s="30">
        <f>[1]!Table1[[#This Row],[Stock Awal]]+[1]!Table1[[#This Row],[Stok Masuk]]-[1]!Table1[[#This Row],[Stok Keluar]]</f>
        <v>0</v>
      </c>
    </row>
    <row r="428" spans="1:9" ht="17">
      <c r="A428" s="26" t="s">
        <v>930</v>
      </c>
      <c r="B428" s="27" t="s">
        <v>931</v>
      </c>
      <c r="C428" s="28">
        <v>30000</v>
      </c>
      <c r="D428" s="26" t="s">
        <v>889</v>
      </c>
      <c r="E428" s="26" t="s">
        <v>925</v>
      </c>
      <c r="F428" s="26">
        <v>1</v>
      </c>
      <c r="G428" s="13">
        <f>SUMIF([1]!Table3[Kode],[1]!Table1[[#This Row],[Kode]],[1]!Table3[Qty])</f>
        <v>33</v>
      </c>
      <c r="H428" s="13">
        <f>SUMIF([1]!Table35[Kode],[1]!Table1[[#This Row],[Kode]],[1]!Table35[Qty])</f>
        <v>21</v>
      </c>
      <c r="I428" s="30">
        <f>[1]!Table1[[#This Row],[Stock Awal]]+[1]!Table1[[#This Row],[Stok Masuk]]-[1]!Table1[[#This Row],[Stok Keluar]]</f>
        <v>13</v>
      </c>
    </row>
    <row r="429" spans="1:9" ht="17">
      <c r="A429" s="26" t="s">
        <v>932</v>
      </c>
      <c r="B429" s="27" t="s">
        <v>933</v>
      </c>
      <c r="C429" s="28">
        <v>30000</v>
      </c>
      <c r="D429" s="26" t="s">
        <v>889</v>
      </c>
      <c r="E429" s="26" t="s">
        <v>925</v>
      </c>
      <c r="F429" s="26"/>
      <c r="G429" s="13">
        <f>SUMIF([1]!Table3[Kode],[1]!Table1[[#This Row],[Kode]],[1]!Table3[Qty])</f>
        <v>13</v>
      </c>
      <c r="H429" s="13">
        <f>SUMIF([1]!Table35[Kode],[1]!Table1[[#This Row],[Kode]],[1]!Table35[Qty])</f>
        <v>6</v>
      </c>
      <c r="I429" s="30">
        <f>[1]!Table1[[#This Row],[Stock Awal]]+[1]!Table1[[#This Row],[Stok Masuk]]-[1]!Table1[[#This Row],[Stok Keluar]]</f>
        <v>7</v>
      </c>
    </row>
    <row r="430" spans="1:9" ht="17">
      <c r="A430" s="26" t="s">
        <v>934</v>
      </c>
      <c r="B430" s="27" t="s">
        <v>935</v>
      </c>
      <c r="C430" s="28">
        <v>30000</v>
      </c>
      <c r="D430" s="26" t="s">
        <v>889</v>
      </c>
      <c r="E430" s="26" t="s">
        <v>925</v>
      </c>
      <c r="F430" s="26"/>
      <c r="G430" s="13">
        <f>SUMIF([1]!Table3[Kode],[1]!Table1[[#This Row],[Kode]],[1]!Table3[Qty])</f>
        <v>19</v>
      </c>
      <c r="H430" s="13">
        <f>SUMIF([1]!Table35[Kode],[1]!Table1[[#This Row],[Kode]],[1]!Table35[Qty])</f>
        <v>4</v>
      </c>
      <c r="I430" s="30">
        <f>[1]!Table1[[#This Row],[Stock Awal]]+[1]!Table1[[#This Row],[Stok Masuk]]-[1]!Table1[[#This Row],[Stok Keluar]]</f>
        <v>15</v>
      </c>
    </row>
    <row r="431" spans="1:9" ht="17">
      <c r="A431" s="26" t="s">
        <v>936</v>
      </c>
      <c r="B431" s="27" t="s">
        <v>937</v>
      </c>
      <c r="C431" s="28">
        <v>30000</v>
      </c>
      <c r="D431" s="26" t="s">
        <v>889</v>
      </c>
      <c r="E431" s="26" t="s">
        <v>925</v>
      </c>
      <c r="F431" s="26"/>
      <c r="G431" s="13">
        <f>SUMIF([1]!Table3[Kode],[1]!Table1[[#This Row],[Kode]],[1]!Table3[Qty])</f>
        <v>3</v>
      </c>
      <c r="H431" s="13">
        <f>SUMIF([1]!Table35[Kode],[1]!Table1[[#This Row],[Kode]],[1]!Table35[Qty])</f>
        <v>0</v>
      </c>
      <c r="I431" s="30">
        <f>[1]!Table1[[#This Row],[Stock Awal]]+[1]!Table1[[#This Row],[Stok Masuk]]-[1]!Table1[[#This Row],[Stok Keluar]]</f>
        <v>3</v>
      </c>
    </row>
    <row r="432" spans="1:9" ht="17">
      <c r="A432" s="26" t="s">
        <v>938</v>
      </c>
      <c r="B432" s="27" t="s">
        <v>939</v>
      </c>
      <c r="C432" s="28">
        <v>20000</v>
      </c>
      <c r="D432" s="26" t="s">
        <v>890</v>
      </c>
      <c r="E432" s="26"/>
      <c r="F432" s="26">
        <v>14</v>
      </c>
      <c r="G432" s="13">
        <f>SUMIF([1]!Table3[Kode],[1]!Table1[[#This Row],[Kode]],[1]!Table3[Qty])</f>
        <v>16.5</v>
      </c>
      <c r="H432" s="13">
        <f>SUMIF([1]!Table35[Kode],[1]!Table1[[#This Row],[Kode]],[1]!Table35[Qty])</f>
        <v>22.5</v>
      </c>
      <c r="I432" s="30">
        <f>[1]!Table1[[#This Row],[Stock Awal]]+[1]!Table1[[#This Row],[Stok Masuk]]-[1]!Table1[[#This Row],[Stok Keluar]]</f>
        <v>8</v>
      </c>
    </row>
    <row r="433" spans="1:9" ht="17">
      <c r="A433" s="26" t="s">
        <v>940</v>
      </c>
      <c r="B433" s="27" t="s">
        <v>941</v>
      </c>
      <c r="C433" s="28">
        <v>80000</v>
      </c>
      <c r="D433" s="26" t="s">
        <v>889</v>
      </c>
      <c r="E433" s="26" t="s">
        <v>942</v>
      </c>
      <c r="F433" s="26">
        <v>1</v>
      </c>
      <c r="G433" s="13">
        <f>SUMIF([1]!Table3[Kode],[1]!Table1[[#This Row],[Kode]],[1]!Table3[Qty])</f>
        <v>0</v>
      </c>
      <c r="H433" s="13">
        <f>SUMIF([1]!Table35[Kode],[1]!Table1[[#This Row],[Kode]],[1]!Table35[Qty])</f>
        <v>-3</v>
      </c>
      <c r="I433" s="30">
        <f>[1]!Table1[[#This Row],[Stock Awal]]+[1]!Table1[[#This Row],[Stok Masuk]]-[1]!Table1[[#This Row],[Stok Keluar]]</f>
        <v>4</v>
      </c>
    </row>
    <row r="434" spans="1:9" ht="17">
      <c r="A434" s="26" t="s">
        <v>943</v>
      </c>
      <c r="B434" s="27" t="s">
        <v>944</v>
      </c>
      <c r="C434" s="28">
        <v>90000</v>
      </c>
      <c r="D434" s="26" t="s">
        <v>889</v>
      </c>
      <c r="E434" s="26" t="s">
        <v>925</v>
      </c>
      <c r="F434" s="26"/>
      <c r="G434" s="13">
        <f>SUMIF([1]!Table3[Kode],[1]!Table1[[#This Row],[Kode]],[1]!Table3[Qty])</f>
        <v>2</v>
      </c>
      <c r="H434" s="13">
        <f>SUMIF([1]!Table35[Kode],[1]!Table1[[#This Row],[Kode]],[1]!Table35[Qty])</f>
        <v>2</v>
      </c>
      <c r="I434" s="30">
        <f>[1]!Table1[[#This Row],[Stock Awal]]+[1]!Table1[[#This Row],[Stok Masuk]]-[1]!Table1[[#This Row],[Stok Keluar]]</f>
        <v>0</v>
      </c>
    </row>
    <row r="435" spans="1:9" ht="17">
      <c r="A435" s="26" t="s">
        <v>945</v>
      </c>
      <c r="B435" s="27" t="s">
        <v>946</v>
      </c>
      <c r="C435" s="28">
        <v>90000</v>
      </c>
      <c r="D435" s="26" t="s">
        <v>889</v>
      </c>
      <c r="E435" s="26" t="s">
        <v>925</v>
      </c>
      <c r="F435" s="26"/>
      <c r="G435" s="13">
        <f>SUMIF([1]!Table3[Kode],[1]!Table1[[#This Row],[Kode]],[1]!Table3[Qty])</f>
        <v>2</v>
      </c>
      <c r="H435" s="13">
        <f>SUMIF([1]!Table35[Kode],[1]!Table1[[#This Row],[Kode]],[1]!Table35[Qty])</f>
        <v>2</v>
      </c>
      <c r="I435" s="30">
        <f>[1]!Table1[[#This Row],[Stock Awal]]+[1]!Table1[[#This Row],[Stok Masuk]]-[1]!Table1[[#This Row],[Stok Keluar]]</f>
        <v>0</v>
      </c>
    </row>
    <row r="436" spans="1:9" ht="17">
      <c r="A436" s="26" t="s">
        <v>947</v>
      </c>
      <c r="B436" s="27" t="s">
        <v>948</v>
      </c>
      <c r="C436" s="28">
        <v>125000</v>
      </c>
      <c r="D436" s="26" t="s">
        <v>890</v>
      </c>
      <c r="E436" s="26"/>
      <c r="F436" s="26">
        <v>2</v>
      </c>
      <c r="G436" s="13">
        <f>SUMIF([1]!Table3[Kode],[1]!Table1[[#This Row],[Kode]],[1]!Table3[Qty])</f>
        <v>20</v>
      </c>
      <c r="H436" s="13">
        <f>SUMIF([1]!Table35[Kode],[1]!Table1[[#This Row],[Kode]],[1]!Table35[Qty])</f>
        <v>22</v>
      </c>
      <c r="I436" s="30">
        <f>[1]!Table1[[#This Row],[Stock Awal]]+[1]!Table1[[#This Row],[Stok Masuk]]-[1]!Table1[[#This Row],[Stok Keluar]]</f>
        <v>0</v>
      </c>
    </row>
    <row r="437" spans="1:9" ht="17">
      <c r="A437" s="26" t="s">
        <v>949</v>
      </c>
      <c r="B437" s="11" t="s">
        <v>950</v>
      </c>
      <c r="C437" s="28">
        <v>125000</v>
      </c>
      <c r="D437" s="26" t="s">
        <v>890</v>
      </c>
      <c r="E437" s="26"/>
      <c r="F437" s="10"/>
      <c r="G437" s="13">
        <f>SUMIF([1]!Table3[Kode],[1]!Table1[[#This Row],[Kode]],[1]!Table3[Qty])</f>
        <v>27</v>
      </c>
      <c r="H437" s="13">
        <f>SUMIF([1]!Table35[Kode],[1]!Table1[[#This Row],[Kode]],[1]!Table35[Qty])</f>
        <v>26</v>
      </c>
      <c r="I437" s="14">
        <f>[1]!Table1[[#This Row],[Stock Awal]]+[1]!Table1[[#This Row],[Stok Masuk]]-[1]!Table1[[#This Row],[Stok Keluar]]</f>
        <v>1</v>
      </c>
    </row>
    <row r="438" spans="1:9" ht="17">
      <c r="A438" s="26" t="s">
        <v>951</v>
      </c>
      <c r="B438" s="11" t="s">
        <v>952</v>
      </c>
      <c r="C438" s="28">
        <v>125000</v>
      </c>
      <c r="D438" s="26" t="s">
        <v>890</v>
      </c>
      <c r="E438" s="26"/>
      <c r="F438" s="10"/>
      <c r="G438" s="13">
        <f>SUMIF([1]!Table3[Kode],[1]!Table1[[#This Row],[Kode]],[1]!Table3[Qty])</f>
        <v>18</v>
      </c>
      <c r="H438" s="13">
        <f>SUMIF([1]!Table35[Kode],[1]!Table1[[#This Row],[Kode]],[1]!Table35[Qty])</f>
        <v>16</v>
      </c>
      <c r="I438" s="14">
        <f>[1]!Table1[[#This Row],[Stock Awal]]+[1]!Table1[[#This Row],[Stok Masuk]]-[1]!Table1[[#This Row],[Stok Keluar]]</f>
        <v>2</v>
      </c>
    </row>
    <row r="439" spans="1:9" ht="17">
      <c r="A439" s="26" t="s">
        <v>953</v>
      </c>
      <c r="B439" s="11" t="s">
        <v>954</v>
      </c>
      <c r="C439" s="28">
        <v>125000</v>
      </c>
      <c r="D439" s="26" t="s">
        <v>890</v>
      </c>
      <c r="E439" s="26"/>
      <c r="F439" s="10"/>
      <c r="G439" s="13">
        <f>SUMIF([1]!Table3[Kode],[1]!Table1[[#This Row],[Kode]],[1]!Table3[Qty])</f>
        <v>13</v>
      </c>
      <c r="H439" s="13">
        <f>SUMIF([1]!Table35[Kode],[1]!Table1[[#This Row],[Kode]],[1]!Table35[Qty])</f>
        <v>11</v>
      </c>
      <c r="I439" s="14">
        <f>[1]!Table1[[#This Row],[Stock Awal]]+[1]!Table1[[#This Row],[Stok Masuk]]-[1]!Table1[[#This Row],[Stok Keluar]]</f>
        <v>2</v>
      </c>
    </row>
    <row r="440" spans="1:9" ht="17">
      <c r="A440" s="26" t="s">
        <v>955</v>
      </c>
      <c r="B440" s="11" t="s">
        <v>956</v>
      </c>
      <c r="C440" s="28">
        <v>125000</v>
      </c>
      <c r="D440" s="26" t="s">
        <v>890</v>
      </c>
      <c r="E440" s="26"/>
      <c r="F440" s="10"/>
      <c r="G440" s="13">
        <f>SUMIF([1]!Table3[Kode],[1]!Table1[[#This Row],[Kode]],[1]!Table3[Qty])</f>
        <v>6</v>
      </c>
      <c r="H440" s="13">
        <f>SUMIF([1]!Table35[Kode],[1]!Table1[[#This Row],[Kode]],[1]!Table35[Qty])</f>
        <v>3</v>
      </c>
      <c r="I440" s="14">
        <f>[1]!Table1[[#This Row],[Stock Awal]]+[1]!Table1[[#This Row],[Stok Masuk]]-[1]!Table1[[#This Row],[Stok Keluar]]</f>
        <v>3</v>
      </c>
    </row>
    <row r="441" spans="1:9" ht="17">
      <c r="A441" s="26" t="s">
        <v>957</v>
      </c>
      <c r="B441" s="27" t="s">
        <v>958</v>
      </c>
      <c r="C441" s="28">
        <v>125000</v>
      </c>
      <c r="D441" s="26" t="s">
        <v>890</v>
      </c>
      <c r="E441" s="26"/>
      <c r="F441" s="26"/>
      <c r="G441" s="13">
        <f>SUMIF([1]!Table3[Kode],[1]!Table1[[#This Row],[Kode]],[1]!Table3[Qty])</f>
        <v>5</v>
      </c>
      <c r="H441" s="13">
        <f>SUMIF([1]!Table35[Kode],[1]!Table1[[#This Row],[Kode]],[1]!Table35[Qty])</f>
        <v>4</v>
      </c>
      <c r="I441" s="30">
        <f>[1]!Table1[[#This Row],[Stock Awal]]+[1]!Table1[[#This Row],[Stok Masuk]]-[1]!Table1[[#This Row],[Stok Keluar]]</f>
        <v>1</v>
      </c>
    </row>
    <row r="442" spans="1:9" ht="17">
      <c r="A442" s="26" t="s">
        <v>959</v>
      </c>
      <c r="B442" s="27" t="s">
        <v>960</v>
      </c>
      <c r="C442" s="28">
        <v>125000</v>
      </c>
      <c r="D442" s="26" t="s">
        <v>890</v>
      </c>
      <c r="E442" s="26"/>
      <c r="F442" s="26"/>
      <c r="G442" s="13">
        <f>SUMIF([1]!Table3[Kode],[1]!Table1[[#This Row],[Kode]],[1]!Table3[Qty])</f>
        <v>3</v>
      </c>
      <c r="H442" s="13">
        <f>SUMIF([1]!Table35[Kode],[1]!Table1[[#This Row],[Kode]],[1]!Table35[Qty])</f>
        <v>1</v>
      </c>
      <c r="I442" s="30">
        <f>[1]!Table1[[#This Row],[Stock Awal]]+[1]!Table1[[#This Row],[Stok Masuk]]-[1]!Table1[[#This Row],[Stok Keluar]]</f>
        <v>2</v>
      </c>
    </row>
    <row r="443" spans="1:9" ht="17">
      <c r="A443" s="26" t="s">
        <v>961</v>
      </c>
      <c r="B443" s="27" t="s">
        <v>962</v>
      </c>
      <c r="C443" s="28">
        <v>65000</v>
      </c>
      <c r="D443" s="26" t="s">
        <v>963</v>
      </c>
      <c r="E443" s="26"/>
      <c r="F443" s="26">
        <v>2</v>
      </c>
      <c r="G443" s="13">
        <f>SUMIF([1]!Table3[Kode],[1]!Table1[[#This Row],[Kode]],[1]!Table3[Qty])</f>
        <v>2</v>
      </c>
      <c r="H443" s="13">
        <f>SUMIF([1]!Table35[Kode],[1]!Table1[[#This Row],[Kode]],[1]!Table35[Qty])</f>
        <v>3</v>
      </c>
      <c r="I443" s="30">
        <f>[1]!Table1[[#This Row],[Stock Awal]]+[1]!Table1[[#This Row],[Stok Masuk]]-[1]!Table1[[#This Row],[Stok Keluar]]</f>
        <v>1</v>
      </c>
    </row>
    <row r="444" spans="1:9" ht="17">
      <c r="A444" s="26" t="s">
        <v>964</v>
      </c>
      <c r="B444" s="27" t="s">
        <v>965</v>
      </c>
      <c r="C444" s="28">
        <v>65000</v>
      </c>
      <c r="D444" s="26" t="s">
        <v>963</v>
      </c>
      <c r="E444" s="26"/>
      <c r="F444" s="26">
        <v>2</v>
      </c>
      <c r="G444" s="13">
        <f>SUMIF([1]!Table3[Kode],[1]!Table1[[#This Row],[Kode]],[1]!Table3[Qty])</f>
        <v>4</v>
      </c>
      <c r="H444" s="13">
        <f>SUMIF([1]!Table35[Kode],[1]!Table1[[#This Row],[Kode]],[1]!Table35[Qty])</f>
        <v>0</v>
      </c>
      <c r="I444" s="30">
        <f>[1]!Table1[[#This Row],[Stock Awal]]+[1]!Table1[[#This Row],[Stok Masuk]]-[1]!Table1[[#This Row],[Stok Keluar]]</f>
        <v>6</v>
      </c>
    </row>
    <row r="445" spans="1:9" ht="17">
      <c r="A445" s="10" t="s">
        <v>966</v>
      </c>
      <c r="B445" s="11" t="s">
        <v>967</v>
      </c>
      <c r="C445" s="28">
        <v>65000</v>
      </c>
      <c r="D445" s="26" t="s">
        <v>963</v>
      </c>
      <c r="E445" s="10"/>
      <c r="F445" s="10">
        <v>1</v>
      </c>
      <c r="G445" s="13">
        <f>SUMIF([1]!Table3[Kode],[1]!Table1[[#This Row],[Kode]],[1]!Table3[Qty])</f>
        <v>6</v>
      </c>
      <c r="H445" s="13">
        <f>SUMIF([1]!Table35[Kode],[1]!Table1[[#This Row],[Kode]],[1]!Table35[Qty])</f>
        <v>1</v>
      </c>
      <c r="I445" s="14">
        <f>[1]!Table1[[#This Row],[Stock Awal]]+[1]!Table1[[#This Row],[Stok Masuk]]-[1]!Table1[[#This Row],[Stok Keluar]]</f>
        <v>6</v>
      </c>
    </row>
    <row r="446" spans="1:9" ht="17">
      <c r="A446" s="26" t="s">
        <v>968</v>
      </c>
      <c r="B446" s="27" t="s">
        <v>969</v>
      </c>
      <c r="C446" s="28">
        <v>65000</v>
      </c>
      <c r="D446" s="26" t="s">
        <v>889</v>
      </c>
      <c r="E446" s="26"/>
      <c r="F446" s="26"/>
      <c r="G446" s="29">
        <f>SUMIF([1]!Table3[Kode],[1]!Table1[[#This Row],[Kode]],[1]!Table3[Qty])</f>
        <v>6</v>
      </c>
      <c r="H446" s="29">
        <f>SUMIF([1]!Table35[Kode],[1]!Table1[[#This Row],[Kode]],[1]!Table35[Qty])</f>
        <v>4</v>
      </c>
      <c r="I446" s="30">
        <f>[1]!Table1[[#This Row],[Stock Awal]]+[1]!Table1[[#This Row],[Stok Masuk]]-[1]!Table1[[#This Row],[Stok Keluar]]</f>
        <v>2</v>
      </c>
    </row>
    <row r="447" spans="1:9" ht="17">
      <c r="A447" s="26" t="s">
        <v>970</v>
      </c>
      <c r="B447" s="27" t="s">
        <v>971</v>
      </c>
      <c r="C447" s="28">
        <v>65000</v>
      </c>
      <c r="D447" s="26" t="s">
        <v>889</v>
      </c>
      <c r="E447" s="26"/>
      <c r="F447" s="26"/>
      <c r="G447" s="29">
        <f>SUMIF([1]!Table3[Kode],[1]!Table1[[#This Row],[Kode]],[1]!Table3[Qty])</f>
        <v>10</v>
      </c>
      <c r="H447" s="29">
        <f>SUMIF([1]!Table35[Kode],[1]!Table1[[#This Row],[Kode]],[1]!Table35[Qty])</f>
        <v>7</v>
      </c>
      <c r="I447" s="30">
        <f>[1]!Table1[[#This Row],[Stock Awal]]+[1]!Table1[[#This Row],[Stok Masuk]]-[1]!Table1[[#This Row],[Stok Keluar]]</f>
        <v>3</v>
      </c>
    </row>
    <row r="448" spans="1:9" ht="17">
      <c r="A448" s="10" t="s">
        <v>972</v>
      </c>
      <c r="B448" s="11" t="s">
        <v>973</v>
      </c>
      <c r="C448" s="28">
        <v>65000</v>
      </c>
      <c r="D448" s="26" t="s">
        <v>889</v>
      </c>
      <c r="E448" s="10"/>
      <c r="F448" s="10"/>
      <c r="G448" s="13">
        <f>SUMIF([1]!Table3[Kode],[1]!Table1[[#This Row],[Kode]],[1]!Table3[Qty])</f>
        <v>6</v>
      </c>
      <c r="H448" s="13">
        <f>SUMIF([1]!Table35[Kode],[1]!Table1[[#This Row],[Kode]],[1]!Table35[Qty])</f>
        <v>3</v>
      </c>
      <c r="I448" s="14">
        <f>[1]!Table1[[#This Row],[Stock Awal]]+[1]!Table1[[#This Row],[Stok Masuk]]-[1]!Table1[[#This Row],[Stok Keluar]]</f>
        <v>3</v>
      </c>
    </row>
    <row r="449" spans="1:9" ht="17">
      <c r="A449" s="26" t="s">
        <v>974</v>
      </c>
      <c r="B449" s="27" t="s">
        <v>975</v>
      </c>
      <c r="C449" s="28">
        <v>65000</v>
      </c>
      <c r="D449" s="26" t="s">
        <v>889</v>
      </c>
      <c r="E449" s="26"/>
      <c r="F449" s="26"/>
      <c r="G449" s="29">
        <f>SUMIF([1]!Table3[Kode],[1]!Table1[[#This Row],[Kode]],[1]!Table3[Qty])</f>
        <v>5</v>
      </c>
      <c r="H449" s="29">
        <f>SUMIF([1]!Table35[Kode],[1]!Table1[[#This Row],[Kode]],[1]!Table35[Qty])</f>
        <v>3</v>
      </c>
      <c r="I449" s="30">
        <f>[1]!Table1[[#This Row],[Stock Awal]]+[1]!Table1[[#This Row],[Stok Masuk]]-[1]!Table1[[#This Row],[Stok Keluar]]</f>
        <v>2</v>
      </c>
    </row>
    <row r="450" spans="1:9" ht="17">
      <c r="A450" s="10" t="s">
        <v>976</v>
      </c>
      <c r="B450" s="11" t="s">
        <v>977</v>
      </c>
      <c r="C450" s="28">
        <v>65000</v>
      </c>
      <c r="D450" s="26" t="s">
        <v>889</v>
      </c>
      <c r="E450" s="10"/>
      <c r="F450" s="10">
        <v>1</v>
      </c>
      <c r="G450" s="13">
        <f>SUMIF([1]!Table3[Kode],[1]!Table1[[#This Row],[Kode]],[1]!Table3[Qty])</f>
        <v>1</v>
      </c>
      <c r="H450" s="13">
        <f>SUMIF([1]!Table35[Kode],[1]!Table1[[#This Row],[Kode]],[1]!Table35[Qty])</f>
        <v>2</v>
      </c>
      <c r="I450" s="14">
        <f>[1]!Table1[[#This Row],[Stock Awal]]+[1]!Table1[[#This Row],[Stok Masuk]]-[1]!Table1[[#This Row],[Stok Keluar]]</f>
        <v>0</v>
      </c>
    </row>
    <row r="451" spans="1:9" ht="17">
      <c r="A451" s="10" t="s">
        <v>978</v>
      </c>
      <c r="B451" s="11" t="s">
        <v>979</v>
      </c>
      <c r="C451" s="28">
        <v>100000</v>
      </c>
      <c r="D451" s="26" t="s">
        <v>980</v>
      </c>
      <c r="E451" s="10"/>
      <c r="F451" s="10"/>
      <c r="G451" s="13">
        <f>SUMIF([1]!Table3[Kode],[1]!Table1[[#This Row],[Kode]],[1]!Table3[Qty])</f>
        <v>5</v>
      </c>
      <c r="H451" s="13">
        <f>SUMIF([1]!Table35[Kode],[1]!Table1[[#This Row],[Kode]],[1]!Table35[Qty])</f>
        <v>-2</v>
      </c>
      <c r="I451" s="14">
        <f>[1]!Table1[[#This Row],[Stock Awal]]+[1]!Table1[[#This Row],[Stok Masuk]]-[1]!Table1[[#This Row],[Stok Keluar]]</f>
        <v>7</v>
      </c>
    </row>
    <row r="452" spans="1:9" ht="17">
      <c r="A452" s="10" t="s">
        <v>981</v>
      </c>
      <c r="B452" s="11" t="s">
        <v>982</v>
      </c>
      <c r="C452" s="28">
        <v>100000</v>
      </c>
      <c r="D452" s="26" t="s">
        <v>980</v>
      </c>
      <c r="E452" s="10"/>
      <c r="F452" s="10"/>
      <c r="G452" s="13">
        <f>SUMIF([1]!Table3[Kode],[1]!Table1[[#This Row],[Kode]],[1]!Table3[Qty])</f>
        <v>6</v>
      </c>
      <c r="H452" s="13">
        <f>SUMIF([1]!Table35[Kode],[1]!Table1[[#This Row],[Kode]],[1]!Table35[Qty])</f>
        <v>4</v>
      </c>
      <c r="I452" s="14">
        <f>[1]!Table1[[#This Row],[Stock Awal]]+[1]!Table1[[#This Row],[Stok Masuk]]-[1]!Table1[[#This Row],[Stok Keluar]]</f>
        <v>2</v>
      </c>
    </row>
    <row r="453" spans="1:9" ht="17">
      <c r="A453" s="10" t="s">
        <v>983</v>
      </c>
      <c r="B453" s="11" t="s">
        <v>984</v>
      </c>
      <c r="C453" s="28">
        <v>100000</v>
      </c>
      <c r="D453" s="26" t="s">
        <v>980</v>
      </c>
      <c r="E453" s="10"/>
      <c r="F453" s="10"/>
      <c r="G453" s="13">
        <f>SUMIF([1]!Table3[Kode],[1]!Table1[[#This Row],[Kode]],[1]!Table3[Qty])</f>
        <v>4</v>
      </c>
      <c r="H453" s="13">
        <f>SUMIF([1]!Table35[Kode],[1]!Table1[[#This Row],[Kode]],[1]!Table35[Qty])</f>
        <v>3</v>
      </c>
      <c r="I453" s="14">
        <f>[1]!Table1[[#This Row],[Stock Awal]]+[1]!Table1[[#This Row],[Stok Masuk]]-[1]!Table1[[#This Row],[Stok Keluar]]</f>
        <v>1</v>
      </c>
    </row>
    <row r="454" spans="1:9" ht="17">
      <c r="A454" s="10" t="s">
        <v>985</v>
      </c>
      <c r="B454" s="11" t="s">
        <v>986</v>
      </c>
      <c r="C454" s="17">
        <v>100000</v>
      </c>
      <c r="D454" s="10" t="s">
        <v>987</v>
      </c>
      <c r="E454" s="10"/>
      <c r="F454" s="10"/>
      <c r="G454" s="13">
        <f>SUMIF([1]!Table3[Kode],[1]!Table1[[#This Row],[Kode]],[1]!Table3[Qty])</f>
        <v>5</v>
      </c>
      <c r="H454" s="13">
        <f>SUMIF([1]!Table35[Kode],[1]!Table1[[#This Row],[Kode]],[1]!Table35[Qty])</f>
        <v>-1</v>
      </c>
      <c r="I454" s="14">
        <f>[1]!Table1[[#This Row],[Stock Awal]]+[1]!Table1[[#This Row],[Stok Masuk]]-[1]!Table1[[#This Row],[Stok Keluar]]</f>
        <v>6</v>
      </c>
    </row>
    <row r="455" spans="1:9" ht="17">
      <c r="A455" s="10" t="s">
        <v>988</v>
      </c>
      <c r="B455" s="11" t="s">
        <v>989</v>
      </c>
      <c r="C455" s="17">
        <v>100000</v>
      </c>
      <c r="D455" s="10" t="s">
        <v>987</v>
      </c>
      <c r="E455" s="10"/>
      <c r="F455" s="10"/>
      <c r="G455" s="13">
        <f>SUMIF([1]!Table3[Kode],[1]!Table1[[#This Row],[Kode]],[1]!Table3[Qty])</f>
        <v>7</v>
      </c>
      <c r="H455" s="13">
        <f>SUMIF([1]!Table35[Kode],[1]!Table1[[#This Row],[Kode]],[1]!Table35[Qty])</f>
        <v>5</v>
      </c>
      <c r="I455" s="14">
        <f>[1]!Table1[[#This Row],[Stock Awal]]+[1]!Table1[[#This Row],[Stok Masuk]]-[1]!Table1[[#This Row],[Stok Keluar]]</f>
        <v>2</v>
      </c>
    </row>
    <row r="456" spans="1:9" ht="17">
      <c r="A456" s="10" t="s">
        <v>990</v>
      </c>
      <c r="B456" s="11" t="s">
        <v>991</v>
      </c>
      <c r="C456" s="17">
        <v>100000</v>
      </c>
      <c r="D456" s="10" t="s">
        <v>987</v>
      </c>
      <c r="E456" s="10"/>
      <c r="F456" s="10"/>
      <c r="G456" s="13">
        <f>SUMIF([1]!Table3[Kode],[1]!Table1[[#This Row],[Kode]],[1]!Table3[Qty])</f>
        <v>2</v>
      </c>
      <c r="H456" s="13">
        <f>SUMIF([1]!Table35[Kode],[1]!Table1[[#This Row],[Kode]],[1]!Table35[Qty])</f>
        <v>2</v>
      </c>
      <c r="I456" s="14">
        <f>[1]!Table1[[#This Row],[Stock Awal]]+[1]!Table1[[#This Row],[Stok Masuk]]-[1]!Table1[[#This Row],[Stok Keluar]]</f>
        <v>0</v>
      </c>
    </row>
    <row r="457" spans="1:9" ht="17">
      <c r="A457" s="10" t="s">
        <v>992</v>
      </c>
      <c r="B457" s="11" t="s">
        <v>993</v>
      </c>
      <c r="C457" s="17">
        <v>75000</v>
      </c>
      <c r="D457" s="10" t="s">
        <v>994</v>
      </c>
      <c r="E457" s="10"/>
      <c r="F457" s="10"/>
      <c r="G457" s="13">
        <f>SUMIF([1]!Table3[Kode],[1]!Table1[[#This Row],[Kode]],[1]!Table3[Qty])</f>
        <v>11</v>
      </c>
      <c r="H457" s="13">
        <f>SUMIF([1]!Table35[Kode],[1]!Table1[[#This Row],[Kode]],[1]!Table35[Qty])</f>
        <v>7</v>
      </c>
      <c r="I457" s="14">
        <f>[1]!Table1[[#This Row],[Stock Awal]]+[1]!Table1[[#This Row],[Stok Masuk]]-[1]!Table1[[#This Row],[Stok Keluar]]</f>
        <v>4</v>
      </c>
    </row>
    <row r="458" spans="1:9" ht="17">
      <c r="A458" s="10" t="s">
        <v>995</v>
      </c>
      <c r="B458" s="11" t="s">
        <v>996</v>
      </c>
      <c r="C458" s="17">
        <v>12000</v>
      </c>
      <c r="D458" s="10" t="s">
        <v>997</v>
      </c>
      <c r="E458" s="10"/>
      <c r="F458" s="10"/>
      <c r="G458" s="13">
        <f>SUMIF([1]!Table3[Kode],[1]!Table1[[#This Row],[Kode]],[1]!Table3[Qty])</f>
        <v>3</v>
      </c>
      <c r="H458" s="13">
        <f>SUMIF([1]!Table35[Kode],[1]!Table1[[#This Row],[Kode]],[1]!Table35[Qty])</f>
        <v>3</v>
      </c>
      <c r="I458" s="14">
        <f>[1]!Table1[[#This Row],[Stock Awal]]+[1]!Table1[[#This Row],[Stok Masuk]]-[1]!Table1[[#This Row],[Stok Keluar]]</f>
        <v>0</v>
      </c>
    </row>
    <row r="459" spans="1:9" ht="17">
      <c r="A459" s="10" t="s">
        <v>998</v>
      </c>
      <c r="B459" s="11" t="s">
        <v>999</v>
      </c>
      <c r="C459" s="17">
        <v>85000</v>
      </c>
      <c r="D459" s="10" t="s">
        <v>1000</v>
      </c>
      <c r="E459" s="10"/>
      <c r="F459" s="10"/>
      <c r="G459" s="13">
        <f>SUMIF([1]!Table3[Kode],[1]!Table1[[#This Row],[Kode]],[1]!Table3[Qty])</f>
        <v>16</v>
      </c>
      <c r="H459" s="13">
        <f>SUMIF([1]!Table35[Kode],[1]!Table1[[#This Row],[Kode]],[1]!Table35[Qty])</f>
        <v>13</v>
      </c>
      <c r="I459" s="14">
        <f>[1]!Table1[[#This Row],[Stock Awal]]+[1]!Table1[[#This Row],[Stok Masuk]]-[1]!Table1[[#This Row],[Stok Keluar]]</f>
        <v>3</v>
      </c>
    </row>
    <row r="460" spans="1:9" ht="17">
      <c r="A460" s="10" t="s">
        <v>1001</v>
      </c>
      <c r="B460" s="11" t="s">
        <v>1002</v>
      </c>
      <c r="C460" s="17">
        <v>85000</v>
      </c>
      <c r="D460" s="10" t="s">
        <v>1000</v>
      </c>
      <c r="E460" s="10"/>
      <c r="F460" s="10"/>
      <c r="G460" s="13">
        <f>SUMIF([1]!Table3[Kode],[1]!Table1[[#This Row],[Kode]],[1]!Table3[Qty])</f>
        <v>0</v>
      </c>
      <c r="H460" s="13">
        <f>SUMIF([1]!Table35[Kode],[1]!Table1[[#This Row],[Kode]],[1]!Table35[Qty])</f>
        <v>-4</v>
      </c>
      <c r="I460" s="14">
        <f>[1]!Table1[[#This Row],[Stock Awal]]+[1]!Table1[[#This Row],[Stok Masuk]]-[1]!Table1[[#This Row],[Stok Keluar]]</f>
        <v>4</v>
      </c>
    </row>
    <row r="461" spans="1:9" ht="17">
      <c r="A461" s="10" t="s">
        <v>1003</v>
      </c>
      <c r="B461" s="11" t="s">
        <v>1004</v>
      </c>
      <c r="C461" s="17">
        <v>85000</v>
      </c>
      <c r="D461" s="10" t="s">
        <v>1000</v>
      </c>
      <c r="E461" s="10"/>
      <c r="F461" s="10"/>
      <c r="G461" s="13">
        <f>SUMIF([1]!Table3[Kode],[1]!Table1[[#This Row],[Kode]],[1]!Table3[Qty])</f>
        <v>2</v>
      </c>
      <c r="H461" s="13">
        <f>SUMIF([1]!Table35[Kode],[1]!Table1[[#This Row],[Kode]],[1]!Table35[Qty])</f>
        <v>-4</v>
      </c>
      <c r="I461" s="14">
        <f>[1]!Table1[[#This Row],[Stock Awal]]+[1]!Table1[[#This Row],[Stok Masuk]]-[1]!Table1[[#This Row],[Stok Keluar]]</f>
        <v>6</v>
      </c>
    </row>
    <row r="462" spans="1:9" ht="17">
      <c r="A462" s="10" t="s">
        <v>1005</v>
      </c>
      <c r="B462" s="11" t="s">
        <v>1006</v>
      </c>
      <c r="C462" s="17">
        <v>85000</v>
      </c>
      <c r="D462" s="10" t="s">
        <v>1000</v>
      </c>
      <c r="E462" s="10"/>
      <c r="F462" s="10"/>
      <c r="G462" s="13">
        <f>SUMIF([1]!Table3[Kode],[1]!Table1[[#This Row],[Kode]],[1]!Table3[Qty])</f>
        <v>2</v>
      </c>
      <c r="H462" s="13">
        <f>SUMIF([1]!Table35[Kode],[1]!Table1[[#This Row],[Kode]],[1]!Table35[Qty])</f>
        <v>2</v>
      </c>
      <c r="I462" s="14">
        <f>[1]!Table1[[#This Row],[Stock Awal]]+[1]!Table1[[#This Row],[Stok Masuk]]-[1]!Table1[[#This Row],[Stok Keluar]]</f>
        <v>0</v>
      </c>
    </row>
    <row r="463" spans="1:9" ht="17">
      <c r="A463" s="10" t="s">
        <v>1007</v>
      </c>
      <c r="B463" s="11" t="s">
        <v>1008</v>
      </c>
      <c r="C463" s="17">
        <v>85000</v>
      </c>
      <c r="D463" s="10" t="s">
        <v>1000</v>
      </c>
      <c r="E463" s="10"/>
      <c r="F463" s="10"/>
      <c r="G463" s="13">
        <f>SUMIF([1]!Table3[Kode],[1]!Table1[[#This Row],[Kode]],[1]!Table3[Qty])</f>
        <v>2</v>
      </c>
      <c r="H463" s="13">
        <f>SUMIF([1]!Table35[Kode],[1]!Table1[[#This Row],[Kode]],[1]!Table35[Qty])</f>
        <v>1</v>
      </c>
      <c r="I463" s="14">
        <f>[1]!Table1[[#This Row],[Stock Awal]]+[1]!Table1[[#This Row],[Stok Masuk]]-[1]!Table1[[#This Row],[Stok Keluar]]</f>
        <v>1</v>
      </c>
    </row>
    <row r="464" spans="1:9" ht="17">
      <c r="A464" s="10" t="s">
        <v>1009</v>
      </c>
      <c r="B464" s="11" t="s">
        <v>1010</v>
      </c>
      <c r="C464" s="17">
        <v>70000</v>
      </c>
      <c r="D464" s="10" t="s">
        <v>1000</v>
      </c>
      <c r="E464" s="10"/>
      <c r="F464" s="10"/>
      <c r="G464" s="13">
        <f>SUMIF([1]!Table3[Kode],[1]!Table1[[#This Row],[Kode]],[1]!Table3[Qty])</f>
        <v>2</v>
      </c>
      <c r="H464" s="13">
        <f>SUMIF([1]!Table35[Kode],[1]!Table1[[#This Row],[Kode]],[1]!Table35[Qty])</f>
        <v>0</v>
      </c>
      <c r="I464" s="14">
        <f>[1]!Table1[[#This Row],[Stock Awal]]+[1]!Table1[[#This Row],[Stok Masuk]]-[1]!Table1[[#This Row],[Stok Keluar]]</f>
        <v>2</v>
      </c>
    </row>
    <row r="465" spans="1:9" ht="17">
      <c r="A465" s="10" t="s">
        <v>1011</v>
      </c>
      <c r="B465" s="11" t="s">
        <v>1012</v>
      </c>
      <c r="C465" s="17">
        <v>70000</v>
      </c>
      <c r="D465" s="10" t="s">
        <v>1000</v>
      </c>
      <c r="E465" s="10"/>
      <c r="F465" s="10"/>
      <c r="G465" s="13">
        <f>SUMIF([1]!Table3[Kode],[1]!Table1[[#This Row],[Kode]],[1]!Table3[Qty])</f>
        <v>2</v>
      </c>
      <c r="H465" s="13">
        <f>SUMIF([1]!Table35[Kode],[1]!Table1[[#This Row],[Kode]],[1]!Table35[Qty])</f>
        <v>0</v>
      </c>
      <c r="I465" s="14">
        <f>[1]!Table1[[#This Row],[Stock Awal]]+[1]!Table1[[#This Row],[Stok Masuk]]-[1]!Table1[[#This Row],[Stok Keluar]]</f>
        <v>2</v>
      </c>
    </row>
    <row r="466" spans="1:9" ht="17">
      <c r="A466" s="10" t="s">
        <v>1013</v>
      </c>
      <c r="B466" s="11" t="s">
        <v>1014</v>
      </c>
      <c r="C466" s="17">
        <v>60000</v>
      </c>
      <c r="D466" s="10" t="s">
        <v>1015</v>
      </c>
      <c r="E466" s="10"/>
      <c r="F466" s="10"/>
      <c r="G466" s="13">
        <f>SUMIF([1]!Table3[Kode],[1]!Table1[[#This Row],[Kode]],[1]!Table3[Qty])</f>
        <v>2</v>
      </c>
      <c r="H466" s="13">
        <f>SUMIF([1]!Table35[Kode],[1]!Table1[[#This Row],[Kode]],[1]!Table35[Qty])</f>
        <v>-4</v>
      </c>
      <c r="I466" s="14">
        <f>[1]!Table1[[#This Row],[Stock Awal]]+[1]!Table1[[#This Row],[Stok Masuk]]-[1]!Table1[[#This Row],[Stok Keluar]]</f>
        <v>6</v>
      </c>
    </row>
    <row r="467" spans="1:9" ht="17">
      <c r="A467" s="10" t="s">
        <v>1016</v>
      </c>
      <c r="B467" s="11" t="s">
        <v>1017</v>
      </c>
      <c r="C467" s="17">
        <v>60000</v>
      </c>
      <c r="D467" s="10" t="s">
        <v>1015</v>
      </c>
      <c r="E467" s="10"/>
      <c r="F467" s="10"/>
      <c r="G467" s="13">
        <f>SUMIF([1]!Table3[Kode],[1]!Table1[[#This Row],[Kode]],[1]!Table3[Qty])</f>
        <v>2</v>
      </c>
      <c r="H467" s="13">
        <f>SUMIF([1]!Table35[Kode],[1]!Table1[[#This Row],[Kode]],[1]!Table35[Qty])</f>
        <v>1</v>
      </c>
      <c r="I467" s="14">
        <f>[1]!Table1[[#This Row],[Stock Awal]]+[1]!Table1[[#This Row],[Stok Masuk]]-[1]!Table1[[#This Row],[Stok Keluar]]</f>
        <v>1</v>
      </c>
    </row>
    <row r="468" spans="1:9" ht="17">
      <c r="A468" s="10" t="s">
        <v>1018</v>
      </c>
      <c r="B468" s="11" t="s">
        <v>1019</v>
      </c>
      <c r="C468" s="17">
        <v>60000</v>
      </c>
      <c r="D468" s="10" t="s">
        <v>1015</v>
      </c>
      <c r="E468" s="10"/>
      <c r="F468" s="10"/>
      <c r="G468" s="13">
        <f>SUMIF([1]!Table3[Kode],[1]!Table1[[#This Row],[Kode]],[1]!Table3[Qty])</f>
        <v>2</v>
      </c>
      <c r="H468" s="13">
        <f>SUMIF([1]!Table35[Kode],[1]!Table1[[#This Row],[Kode]],[1]!Table35[Qty])</f>
        <v>-1</v>
      </c>
      <c r="I468" s="14">
        <f>[1]!Table1[[#This Row],[Stock Awal]]+[1]!Table1[[#This Row],[Stok Masuk]]-[1]!Table1[[#This Row],[Stok Keluar]]</f>
        <v>3</v>
      </c>
    </row>
    <row r="469" spans="1:9" ht="17">
      <c r="A469" s="10" t="s">
        <v>1020</v>
      </c>
      <c r="B469" s="11" t="s">
        <v>1021</v>
      </c>
      <c r="C469" s="28">
        <v>32000</v>
      </c>
      <c r="D469" s="26" t="s">
        <v>800</v>
      </c>
      <c r="E469" s="26" t="s">
        <v>1022</v>
      </c>
      <c r="F469" s="10"/>
      <c r="G469" s="13">
        <f>SUMIF([1]!Table3[Kode],[1]!Table1[[#This Row],[Kode]],[1]!Table3[Qty])</f>
        <v>122</v>
      </c>
      <c r="H469" s="13">
        <f>SUMIF([1]!Table35[Kode],[1]!Table1[[#This Row],[Kode]],[1]!Table35[Qty])</f>
        <v>104</v>
      </c>
      <c r="I469" s="14">
        <f>[1]!Table1[[#This Row],[Stock Awal]]+[1]!Table1[[#This Row],[Stok Masuk]]-[1]!Table1[[#This Row],[Stok Keluar]]</f>
        <v>18</v>
      </c>
    </row>
    <row r="470" spans="1:9" ht="17">
      <c r="A470" s="10" t="s">
        <v>1023</v>
      </c>
      <c r="B470" s="27" t="s">
        <v>1024</v>
      </c>
      <c r="C470" s="28">
        <v>32000</v>
      </c>
      <c r="D470" s="26" t="s">
        <v>800</v>
      </c>
      <c r="E470" s="26" t="s">
        <v>1022</v>
      </c>
      <c r="F470" s="26">
        <v>3</v>
      </c>
      <c r="G470" s="29">
        <f>SUMIF([1]!Table3[Kode],[1]!Table1[[#This Row],[Kode]],[1]!Table3[Qty])</f>
        <v>30</v>
      </c>
      <c r="H470" s="29">
        <f>SUMIF([1]!Table35[Kode],[1]!Table1[[#This Row],[Kode]],[1]!Table35[Qty])</f>
        <v>15</v>
      </c>
      <c r="I470" s="30">
        <f>[1]!Table1[[#This Row],[Stock Awal]]+[1]!Table1[[#This Row],[Stok Masuk]]-[1]!Table1[[#This Row],[Stok Keluar]]</f>
        <v>18</v>
      </c>
    </row>
    <row r="471" spans="1:9" ht="34">
      <c r="A471" s="26" t="s">
        <v>1025</v>
      </c>
      <c r="B471" s="27" t="s">
        <v>1026</v>
      </c>
      <c r="C471" s="28">
        <v>36000</v>
      </c>
      <c r="D471" s="26" t="s">
        <v>1027</v>
      </c>
      <c r="E471" s="26"/>
      <c r="F471" s="26"/>
      <c r="G471" s="29">
        <f>SUMIF([1]!Table3[Kode],[1]!Table1[[#This Row],[Kode]],[1]!Table3[Qty])</f>
        <v>40</v>
      </c>
      <c r="H471" s="29">
        <f>SUMIF([1]!Table35[Kode],[1]!Table1[[#This Row],[Kode]],[1]!Table35[Qty])</f>
        <v>18</v>
      </c>
      <c r="I471" s="30">
        <f>[1]!Table1[[#This Row],[Stock Awal]]+[1]!Table1[[#This Row],[Stok Masuk]]-[1]!Table1[[#This Row],[Stok Keluar]]</f>
        <v>22</v>
      </c>
    </row>
    <row r="472" spans="1:9" ht="34">
      <c r="A472" s="26" t="s">
        <v>1028</v>
      </c>
      <c r="B472" s="52" t="s">
        <v>1029</v>
      </c>
      <c r="C472" s="28">
        <v>200000</v>
      </c>
      <c r="D472" s="26" t="s">
        <v>1030</v>
      </c>
      <c r="E472" s="26"/>
      <c r="F472" s="26"/>
      <c r="G472" s="29">
        <f>SUMIF([1]!Table3[Kode],[1]!Table1[[#This Row],[Kode]],[1]!Table3[Qty])</f>
        <v>3</v>
      </c>
      <c r="H472" s="29">
        <f>SUMIF([1]!Table35[Kode],[1]!Table1[[#This Row],[Kode]],[1]!Table35[Qty])</f>
        <v>-2</v>
      </c>
      <c r="I472" s="30">
        <f>[1]!Table1[[#This Row],[Stock Awal]]+[1]!Table1[[#This Row],[Stok Masuk]]-[1]!Table1[[#This Row],[Stok Keluar]]</f>
        <v>5</v>
      </c>
    </row>
    <row r="473" spans="1:9" ht="34">
      <c r="A473" s="26" t="s">
        <v>1031</v>
      </c>
      <c r="B473" s="52" t="s">
        <v>1032</v>
      </c>
      <c r="C473" s="28">
        <v>200000</v>
      </c>
      <c r="D473" s="26" t="s">
        <v>1030</v>
      </c>
      <c r="E473" s="26"/>
      <c r="F473" s="26"/>
      <c r="G473" s="29">
        <f>SUMIF([1]!Table3[Kode],[1]!Table1[[#This Row],[Kode]],[1]!Table3[Qty])</f>
        <v>5</v>
      </c>
      <c r="H473" s="29">
        <f>SUMIF([1]!Table35[Kode],[1]!Table1[[#This Row],[Kode]],[1]!Table35[Qty])</f>
        <v>0</v>
      </c>
      <c r="I473" s="30">
        <f>[1]!Table1[[#This Row],[Stock Awal]]+[1]!Table1[[#This Row],[Stok Masuk]]-[1]!Table1[[#This Row],[Stok Keluar]]</f>
        <v>5</v>
      </c>
    </row>
    <row r="474" spans="1:9" ht="34">
      <c r="A474" s="26" t="s">
        <v>1033</v>
      </c>
      <c r="B474" s="52" t="s">
        <v>1034</v>
      </c>
      <c r="C474" s="28">
        <v>200000</v>
      </c>
      <c r="D474" s="26" t="s">
        <v>1030</v>
      </c>
      <c r="E474" s="26"/>
      <c r="F474" s="26"/>
      <c r="G474" s="29">
        <f>SUMIF([1]!Table3[Kode],[1]!Table1[[#This Row],[Kode]],[1]!Table3[Qty])</f>
        <v>0</v>
      </c>
      <c r="H474" s="29">
        <f>SUMIF([1]!Table35[Kode],[1]!Table1[[#This Row],[Kode]],[1]!Table35[Qty])</f>
        <v>-3</v>
      </c>
      <c r="I474" s="30">
        <f>[1]!Table1[[#This Row],[Stock Awal]]+[1]!Table1[[#This Row],[Stok Masuk]]-[1]!Table1[[#This Row],[Stok Keluar]]</f>
        <v>3</v>
      </c>
    </row>
    <row r="475" spans="1:9" ht="17">
      <c r="A475" s="26" t="s">
        <v>1035</v>
      </c>
      <c r="B475" s="52" t="s">
        <v>1036</v>
      </c>
      <c r="C475" s="28">
        <v>120000</v>
      </c>
      <c r="D475" s="26" t="s">
        <v>1037</v>
      </c>
      <c r="E475" s="26"/>
      <c r="F475" s="26"/>
      <c r="G475" s="29">
        <f>SUMIF([1]!Table3[Kode],[1]!Table1[[#This Row],[Kode]],[1]!Table3[Qty])</f>
        <v>0</v>
      </c>
      <c r="H475" s="29">
        <f>SUMIF([1]!Table35[Kode],[1]!Table1[[#This Row],[Kode]],[1]!Table35[Qty])</f>
        <v>-4</v>
      </c>
      <c r="I475" s="30">
        <f>[1]!Table1[[#This Row],[Stock Awal]]+[1]!Table1[[#This Row],[Stok Masuk]]-[1]!Table1[[#This Row],[Stok Keluar]]</f>
        <v>4</v>
      </c>
    </row>
    <row r="476" spans="1:9" ht="17">
      <c r="A476" s="26" t="s">
        <v>1038</v>
      </c>
      <c r="B476" s="52" t="s">
        <v>1039</v>
      </c>
      <c r="C476" s="28">
        <v>120000</v>
      </c>
      <c r="D476" s="26" t="s">
        <v>1037</v>
      </c>
      <c r="E476" s="26"/>
      <c r="F476" s="26"/>
      <c r="G476" s="29">
        <f>SUMIF([1]!Table3[Kode],[1]!Table1[[#This Row],[Kode]],[1]!Table3[Qty])</f>
        <v>5</v>
      </c>
      <c r="H476" s="29">
        <f>SUMIF([1]!Table35[Kode],[1]!Table1[[#This Row],[Kode]],[1]!Table35[Qty])</f>
        <v>0</v>
      </c>
      <c r="I476" s="30">
        <f>[1]!Table1[[#This Row],[Stock Awal]]+[1]!Table1[[#This Row],[Stok Masuk]]-[1]!Table1[[#This Row],[Stok Keluar]]</f>
        <v>5</v>
      </c>
    </row>
    <row r="477" spans="1:9" ht="17">
      <c r="A477" s="26" t="s">
        <v>1040</v>
      </c>
      <c r="B477" s="27" t="s">
        <v>1041</v>
      </c>
      <c r="C477" s="28">
        <v>85000</v>
      </c>
      <c r="D477" s="26" t="s">
        <v>1000</v>
      </c>
      <c r="E477" s="26"/>
      <c r="F477" s="26"/>
      <c r="G477" s="29">
        <f>SUMIF([1]!Table3[Kode],[1]!Table1[[#This Row],[Kode]],[1]!Table3[Qty])</f>
        <v>8</v>
      </c>
      <c r="H477" s="29">
        <f>SUMIF([1]!Table35[Kode],[1]!Table1[[#This Row],[Kode]],[1]!Table35[Qty])</f>
        <v>6</v>
      </c>
      <c r="I477" s="30">
        <f>[1]!Table1[[#This Row],[Stock Awal]]+[1]!Table1[[#This Row],[Stok Masuk]]-[1]!Table1[[#This Row],[Stok Keluar]]</f>
        <v>2</v>
      </c>
    </row>
    <row r="478" spans="1:9" ht="17">
      <c r="A478" s="10" t="s">
        <v>1042</v>
      </c>
      <c r="B478" s="11" t="s">
        <v>1043</v>
      </c>
      <c r="C478" s="28">
        <v>70000</v>
      </c>
      <c r="D478" s="53" t="s">
        <v>1044</v>
      </c>
      <c r="E478" s="10"/>
      <c r="F478" s="10"/>
      <c r="G478" s="13">
        <f>SUMIF([1]!Table3[Kode],[1]!Table1[[#This Row],[Kode]],[1]!Table3[Qty])</f>
        <v>70</v>
      </c>
      <c r="H478" s="13">
        <f>SUMIF([1]!Table35[Kode],[1]!Table1[[#This Row],[Kode]],[1]!Table35[Qty])</f>
        <v>53</v>
      </c>
      <c r="I478" s="14">
        <f>[1]!Table1[[#This Row],[Stock Awal]]+[1]!Table1[[#This Row],[Stok Masuk]]-[1]!Table1[[#This Row],[Stok Keluar]]</f>
        <v>17</v>
      </c>
    </row>
    <row r="479" spans="1:9" ht="17">
      <c r="A479" s="10" t="s">
        <v>1045</v>
      </c>
      <c r="B479" s="11" t="s">
        <v>1046</v>
      </c>
      <c r="C479" s="28">
        <v>65000</v>
      </c>
      <c r="D479" s="53" t="s">
        <v>1047</v>
      </c>
      <c r="E479" s="10"/>
      <c r="F479" s="10"/>
      <c r="G479" s="13">
        <f>SUMIF([1]!Table3[Kode],[1]!Table1[[#This Row],[Kode]],[1]!Table3[Qty])</f>
        <v>50</v>
      </c>
      <c r="H479" s="13">
        <f>SUMIF([1]!Table35[Kode],[1]!Table1[[#This Row],[Kode]],[1]!Table35[Qty])</f>
        <v>46</v>
      </c>
      <c r="I479" s="14">
        <f>[1]!Table1[[#This Row],[Stock Awal]]+[1]!Table1[[#This Row],[Stok Masuk]]-[1]!Table1[[#This Row],[Stok Keluar]]</f>
        <v>4</v>
      </c>
    </row>
    <row r="480" spans="1:9" ht="17">
      <c r="A480" s="10" t="s">
        <v>1048</v>
      </c>
      <c r="B480" s="11" t="s">
        <v>1049</v>
      </c>
      <c r="C480" s="28">
        <v>75000</v>
      </c>
      <c r="D480" s="53" t="s">
        <v>1050</v>
      </c>
      <c r="E480" s="10"/>
      <c r="F480" s="10"/>
      <c r="G480" s="13">
        <f>SUMIF([1]!Table3[Kode],[1]!Table1[[#This Row],[Kode]],[1]!Table3[Qty])</f>
        <v>30</v>
      </c>
      <c r="H480" s="13">
        <f>SUMIF([1]!Table35[Kode],[1]!Table1[[#This Row],[Kode]],[1]!Table35[Qty])</f>
        <v>-1</v>
      </c>
      <c r="I480" s="14">
        <f>[1]!Table1[[#This Row],[Stock Awal]]+[1]!Table1[[#This Row],[Stok Masuk]]-[1]!Table1[[#This Row],[Stok Keluar]]</f>
        <v>31</v>
      </c>
    </row>
    <row r="481" spans="1:9" ht="17">
      <c r="A481" s="10" t="s">
        <v>1051</v>
      </c>
      <c r="B481" s="11" t="s">
        <v>1052</v>
      </c>
      <c r="C481" s="28">
        <v>80000</v>
      </c>
      <c r="D481" s="53" t="s">
        <v>1053</v>
      </c>
      <c r="E481" s="10"/>
      <c r="F481" s="10"/>
      <c r="G481" s="13">
        <f>SUMIF([1]!Table3[Kode],[1]!Table1[[#This Row],[Kode]],[1]!Table3[Qty])</f>
        <v>10</v>
      </c>
      <c r="H481" s="13">
        <f>SUMIF([1]!Table35[Kode],[1]!Table1[[#This Row],[Kode]],[1]!Table35[Qty])</f>
        <v>5</v>
      </c>
      <c r="I481" s="14">
        <f>[1]!Table1[[#This Row],[Stock Awal]]+[1]!Table1[[#This Row],[Stok Masuk]]-[1]!Table1[[#This Row],[Stok Keluar]]</f>
        <v>5</v>
      </c>
    </row>
    <row r="482" spans="1:9" ht="17">
      <c r="A482" s="10" t="s">
        <v>1054</v>
      </c>
      <c r="B482" s="11" t="s">
        <v>1055</v>
      </c>
      <c r="C482" s="28">
        <v>70000</v>
      </c>
      <c r="D482" s="53" t="s">
        <v>1056</v>
      </c>
      <c r="E482" s="10"/>
      <c r="F482" s="10"/>
      <c r="G482" s="13">
        <f>SUMIF([1]!Table3[Kode],[1]!Table1[[#This Row],[Kode]],[1]!Table3[Qty])</f>
        <v>20</v>
      </c>
      <c r="H482" s="13">
        <f>SUMIF([1]!Table35[Kode],[1]!Table1[[#This Row],[Kode]],[1]!Table35[Qty])</f>
        <v>7</v>
      </c>
      <c r="I482" s="14">
        <f>[1]!Table1[[#This Row],[Stock Awal]]+[1]!Table1[[#This Row],[Stok Masuk]]-[1]!Table1[[#This Row],[Stok Keluar]]</f>
        <v>13</v>
      </c>
    </row>
    <row r="483" spans="1:9" ht="17">
      <c r="A483" s="10" t="s">
        <v>1057</v>
      </c>
      <c r="B483" s="11" t="s">
        <v>1058</v>
      </c>
      <c r="C483" s="28">
        <v>75000</v>
      </c>
      <c r="D483" s="53" t="s">
        <v>1059</v>
      </c>
      <c r="E483" s="10"/>
      <c r="F483" s="10"/>
      <c r="G483" s="13">
        <f>SUMIF([1]!Table3[Kode],[1]!Table1[[#This Row],[Kode]],[1]!Table3[Qty])</f>
        <v>15</v>
      </c>
      <c r="H483" s="13">
        <f>SUMIF([1]!Table35[Kode],[1]!Table1[[#This Row],[Kode]],[1]!Table35[Qty])</f>
        <v>4</v>
      </c>
      <c r="I483" s="14">
        <f>[1]!Table1[[#This Row],[Stock Awal]]+[1]!Table1[[#This Row],[Stok Masuk]]-[1]!Table1[[#This Row],[Stok Keluar]]</f>
        <v>11</v>
      </c>
    </row>
    <row r="484" spans="1:9" ht="17">
      <c r="A484" s="26" t="s">
        <v>1060</v>
      </c>
      <c r="B484" s="27" t="s">
        <v>1061</v>
      </c>
      <c r="C484" s="28">
        <v>80000</v>
      </c>
      <c r="D484" s="54" t="s">
        <v>1062</v>
      </c>
      <c r="E484" s="26"/>
      <c r="F484" s="26"/>
      <c r="G484" s="29">
        <f>SUMIF([1]!Table3[Kode],[1]!Table1[[#This Row],[Kode]],[1]!Table3[Qty])</f>
        <v>10</v>
      </c>
      <c r="H484" s="29">
        <f>SUMIF([1]!Table35[Kode],[1]!Table1[[#This Row],[Kode]],[1]!Table35[Qty])</f>
        <v>1</v>
      </c>
      <c r="I484" s="30">
        <f>[1]!Table1[[#This Row],[Stock Awal]]+[1]!Table1[[#This Row],[Stok Masuk]]-[1]!Table1[[#This Row],[Stok Keluar]]</f>
        <v>9</v>
      </c>
    </row>
    <row r="485" spans="1:9" ht="17">
      <c r="A485" s="26" t="s">
        <v>1063</v>
      </c>
      <c r="B485" s="27" t="s">
        <v>1064</v>
      </c>
      <c r="C485" s="28"/>
      <c r="D485" s="54"/>
      <c r="E485" s="26"/>
      <c r="F485" s="26"/>
      <c r="G485" s="29">
        <f>SUMIF([1]!Table3[Kode],[1]!Table1[[#This Row],[Kode]],[1]!Table3[Qty])</f>
        <v>5</v>
      </c>
      <c r="H485" s="29">
        <f>SUMIF([1]!Table35[Kode],[1]!Table1[[#This Row],[Kode]],[1]!Table35[Qty])</f>
        <v>1</v>
      </c>
      <c r="I485" s="30">
        <f>[1]!Table1[[#This Row],[Stock Awal]]+[1]!Table1[[#This Row],[Stok Masuk]]-[1]!Table1[[#This Row],[Stok Keluar]]</f>
        <v>4</v>
      </c>
    </row>
    <row r="486" spans="1:9" ht="17">
      <c r="A486" s="26" t="s">
        <v>1065</v>
      </c>
      <c r="B486" s="27" t="s">
        <v>1066</v>
      </c>
      <c r="C486" s="28"/>
      <c r="D486" s="54"/>
      <c r="E486" s="26"/>
      <c r="F486" s="26"/>
      <c r="G486" s="29">
        <f>SUMIF([1]!Table3[Kode],[1]!Table1[[#This Row],[Kode]],[1]!Table3[Qty])</f>
        <v>5</v>
      </c>
      <c r="H486" s="29">
        <f>SUMIF([1]!Table35[Kode],[1]!Table1[[#This Row],[Kode]],[1]!Table35[Qty])</f>
        <v>1</v>
      </c>
      <c r="I486" s="30">
        <f>[1]!Table1[[#This Row],[Stock Awal]]+[1]!Table1[[#This Row],[Stok Masuk]]-[1]!Table1[[#This Row],[Stok Keluar]]</f>
        <v>4</v>
      </c>
    </row>
    <row r="487" spans="1:9" ht="17">
      <c r="A487" s="26" t="s">
        <v>1067</v>
      </c>
      <c r="B487" s="27" t="s">
        <v>1068</v>
      </c>
      <c r="C487" s="28"/>
      <c r="D487" s="54"/>
      <c r="E487" s="26"/>
      <c r="F487" s="26"/>
      <c r="G487" s="29">
        <f>SUMIF([1]!Table3[Kode],[1]!Table1[[#This Row],[Kode]],[1]!Table3[Qty])</f>
        <v>5</v>
      </c>
      <c r="H487" s="29">
        <f>SUMIF([1]!Table35[Kode],[1]!Table1[[#This Row],[Kode]],[1]!Table35[Qty])</f>
        <v>0</v>
      </c>
      <c r="I487" s="30">
        <f>[1]!Table1[[#This Row],[Stock Awal]]+[1]!Table1[[#This Row],[Stok Masuk]]-[1]!Table1[[#This Row],[Stok Keluar]]</f>
        <v>5</v>
      </c>
    </row>
    <row r="488" spans="1:9" ht="17">
      <c r="A488" s="26" t="s">
        <v>1069</v>
      </c>
      <c r="B488" s="27" t="s">
        <v>1070</v>
      </c>
      <c r="C488" s="28">
        <v>60000</v>
      </c>
      <c r="D488" s="54" t="s">
        <v>1071</v>
      </c>
      <c r="E488" s="26"/>
      <c r="F488" s="26"/>
      <c r="G488" s="29">
        <f>SUMIF([1]!Table3[Kode],[1]!Table1[[#This Row],[Kode]],[1]!Table3[Qty])</f>
        <v>30</v>
      </c>
      <c r="H488" s="29">
        <f>SUMIF([1]!Table35[Kode],[1]!Table1[[#This Row],[Kode]],[1]!Table35[Qty])</f>
        <v>4</v>
      </c>
      <c r="I488" s="30">
        <f>[1]!Table1[[#This Row],[Stock Awal]]+[1]!Table1[[#This Row],[Stok Masuk]]-[1]!Table1[[#This Row],[Stok Keluar]]</f>
        <v>26</v>
      </c>
    </row>
    <row r="489" spans="1:9" ht="17">
      <c r="A489" s="26" t="s">
        <v>1072</v>
      </c>
      <c r="B489" s="27" t="s">
        <v>1073</v>
      </c>
      <c r="C489" s="28">
        <v>100000</v>
      </c>
      <c r="D489" s="26" t="s">
        <v>980</v>
      </c>
      <c r="E489" s="26"/>
      <c r="F489" s="26"/>
      <c r="G489" s="29">
        <f>SUMIF([1]!Table3[Kode],[1]!Table1[[#This Row],[Kode]],[1]!Table3[Qty])</f>
        <v>0</v>
      </c>
      <c r="H489" s="29">
        <f>SUMIF([1]!Table35[Kode],[1]!Table1[[#This Row],[Kode]],[1]!Table35[Qty])</f>
        <v>0</v>
      </c>
      <c r="I489" s="30">
        <f>[1]!Table1[[#This Row],[Stock Awal]]+[1]!Table1[[#This Row],[Stok Masuk]]-[1]!Table1[[#This Row],[Stok Keluar]]</f>
        <v>0</v>
      </c>
    </row>
    <row r="490" spans="1:9" ht="17">
      <c r="A490" s="26" t="s">
        <v>1074</v>
      </c>
      <c r="B490" s="27" t="s">
        <v>1075</v>
      </c>
      <c r="C490" s="28">
        <v>100000</v>
      </c>
      <c r="D490" s="26" t="s">
        <v>980</v>
      </c>
      <c r="E490" s="26"/>
      <c r="F490" s="26"/>
      <c r="G490" s="29">
        <f>SUMIF([1]!Table3[Kode],[1]!Table1[[#This Row],[Kode]],[1]!Table3[Qty])</f>
        <v>0</v>
      </c>
      <c r="H490" s="29">
        <f>SUMIF([1]!Table35[Kode],[1]!Table1[[#This Row],[Kode]],[1]!Table35[Qty])</f>
        <v>0</v>
      </c>
      <c r="I490" s="30">
        <f>[1]!Table1[[#This Row],[Stock Awal]]+[1]!Table1[[#This Row],[Stok Masuk]]-[1]!Table1[[#This Row],[Stok Keluar]]</f>
        <v>0</v>
      </c>
    </row>
    <row r="491" spans="1:9" ht="17">
      <c r="A491" s="26" t="s">
        <v>1076</v>
      </c>
      <c r="B491" s="27" t="s">
        <v>1077</v>
      </c>
      <c r="C491" s="17">
        <v>80000</v>
      </c>
      <c r="D491" s="10" t="s">
        <v>1078</v>
      </c>
      <c r="E491" s="55" t="s">
        <v>1079</v>
      </c>
      <c r="F491" s="10"/>
      <c r="G491" s="29">
        <f>SUMIF([1]!Table3[Kode],[1]!Table1[[#This Row],[Kode]],[1]!Table3[Qty])</f>
        <v>8</v>
      </c>
      <c r="H491" s="29">
        <f>SUMIF([1]!Table35[Kode],[1]!Table1[[#This Row],[Kode]],[1]!Table35[Qty])</f>
        <v>-24</v>
      </c>
      <c r="I491" s="30">
        <f>[1]!Table1[[#This Row],[Stock Awal]]+[1]!Table1[[#This Row],[Stok Masuk]]-[1]!Table1[[#This Row],[Stok Keluar]]</f>
        <v>32</v>
      </c>
    </row>
    <row r="492" spans="1:9" ht="17">
      <c r="A492" s="26" t="s">
        <v>1080</v>
      </c>
      <c r="B492" s="27" t="s">
        <v>1081</v>
      </c>
      <c r="C492" s="56">
        <v>235000</v>
      </c>
      <c r="D492" s="26"/>
      <c r="E492" s="26"/>
      <c r="F492" s="26"/>
      <c r="G492" s="29">
        <f>SUMIF([1]!Table3[Kode],[1]!Table1[[#This Row],[Kode]],[1]!Table3[Qty])</f>
        <v>10</v>
      </c>
      <c r="H492" s="29">
        <f>SUMIF([1]!Table35[Kode],[1]!Table1[[#This Row],[Kode]],[1]!Table35[Qty])</f>
        <v>5</v>
      </c>
      <c r="I492" s="30">
        <f>[1]!Table1[[#This Row],[Stock Awal]]+[1]!Table1[[#This Row],[Stok Masuk]]-[1]!Table1[[#This Row],[Stok Keluar]]</f>
        <v>5</v>
      </c>
    </row>
    <row r="493" spans="1:9" ht="17">
      <c r="A493" s="26" t="s">
        <v>1082</v>
      </c>
      <c r="B493" s="27" t="s">
        <v>1083</v>
      </c>
      <c r="C493" s="56">
        <v>260000</v>
      </c>
      <c r="D493" s="26"/>
      <c r="E493" s="26"/>
      <c r="F493" s="26"/>
      <c r="G493" s="29">
        <f>SUMIF([1]!Table3[Kode],[1]!Table1[[#This Row],[Kode]],[1]!Table3[Qty])</f>
        <v>6</v>
      </c>
      <c r="H493" s="29">
        <f>SUMIF([1]!Table35[Kode],[1]!Table1[[#This Row],[Kode]],[1]!Table35[Qty])</f>
        <v>6</v>
      </c>
      <c r="I493" s="30">
        <f>[1]!Table1[[#This Row],[Stock Awal]]+[1]!Table1[[#This Row],[Stok Masuk]]-[1]!Table1[[#This Row],[Stok Keluar]]</f>
        <v>0</v>
      </c>
    </row>
    <row r="494" spans="1:9" ht="17">
      <c r="A494" s="26" t="s">
        <v>1084</v>
      </c>
      <c r="B494" s="27" t="s">
        <v>1085</v>
      </c>
      <c r="C494" s="56">
        <v>360000</v>
      </c>
      <c r="D494" s="26"/>
      <c r="E494" s="26"/>
      <c r="F494" s="26"/>
      <c r="G494" s="29">
        <f>SUMIF([1]!Table3[Kode],[1]!Table1[[#This Row],[Kode]],[1]!Table3[Qty])</f>
        <v>10</v>
      </c>
      <c r="H494" s="29">
        <f>SUMIF([1]!Table35[Kode],[1]!Table1[[#This Row],[Kode]],[1]!Table35[Qty])</f>
        <v>8</v>
      </c>
      <c r="I494" s="30">
        <f>[1]!Table1[[#This Row],[Stock Awal]]+[1]!Table1[[#This Row],[Stok Masuk]]-[1]!Table1[[#This Row],[Stok Keluar]]</f>
        <v>2</v>
      </c>
    </row>
    <row r="495" spans="1:9" ht="17">
      <c r="A495" s="26" t="s">
        <v>1086</v>
      </c>
      <c r="B495" s="27" t="s">
        <v>1087</v>
      </c>
      <c r="C495" s="57"/>
      <c r="D495" s="26"/>
      <c r="E495" s="26"/>
      <c r="F495" s="26"/>
      <c r="G495" s="29">
        <f>SUMIF([1]!Table3[Kode],[1]!Table1[[#This Row],[Kode]],[1]!Table3[Qty])</f>
        <v>0</v>
      </c>
      <c r="H495" s="29">
        <f>SUMIF([1]!Table35[Kode],[1]!Table1[[#This Row],[Kode]],[1]!Table35[Qty])</f>
        <v>-17</v>
      </c>
      <c r="I495" s="30">
        <f>[1]!Table1[[#This Row],[Stock Awal]]+[1]!Table1[[#This Row],[Stok Masuk]]-[1]!Table1[[#This Row],[Stok Keluar]]</f>
        <v>17</v>
      </c>
    </row>
    <row r="496" spans="1:9" ht="17">
      <c r="A496" s="26" t="s">
        <v>1088</v>
      </c>
      <c r="B496" s="27" t="s">
        <v>1089</v>
      </c>
      <c r="C496" s="28">
        <v>55000</v>
      </c>
      <c r="D496" s="26" t="s">
        <v>1090</v>
      </c>
      <c r="E496" s="26"/>
      <c r="F496" s="26">
        <v>2</v>
      </c>
      <c r="G496" s="29">
        <f>SUMIF([1]!Table3[Kode],[1]!Table1[[#This Row],[Kode]],[1]!Table3[Qty])</f>
        <v>2</v>
      </c>
      <c r="H496" s="29">
        <f>SUMIF([1]!Table35[Kode],[1]!Table1[[#This Row],[Kode]],[1]!Table35[Qty])</f>
        <v>4</v>
      </c>
      <c r="I496" s="30">
        <f>[1]!Table1[[#This Row],[Stock Awal]]+[1]!Table1[[#This Row],[Stok Masuk]]-[1]!Table1[[#This Row],[Stok Keluar]]</f>
        <v>0</v>
      </c>
    </row>
    <row r="497" spans="1:9" ht="17">
      <c r="A497" s="26" t="s">
        <v>1091</v>
      </c>
      <c r="B497" s="11" t="s">
        <v>1092</v>
      </c>
      <c r="C497" s="17">
        <v>50000</v>
      </c>
      <c r="D497" s="10" t="s">
        <v>997</v>
      </c>
      <c r="E497" s="26"/>
      <c r="F497" s="26">
        <v>2</v>
      </c>
      <c r="G497" s="29">
        <f>SUMIF([1]!Table3[Kode],[1]!Table1[[#This Row],[Kode]],[1]!Table3[Qty])</f>
        <v>7</v>
      </c>
      <c r="H497" s="29">
        <f>SUMIF([1]!Table35[Kode],[1]!Table1[[#This Row],[Kode]],[1]!Table35[Qty])</f>
        <v>6</v>
      </c>
      <c r="I497" s="30">
        <f>[1]!Table1[[#This Row],[Stock Awal]]+[1]!Table1[[#This Row],[Stok Masuk]]-[1]!Table1[[#This Row],[Stok Keluar]]</f>
        <v>3</v>
      </c>
    </row>
    <row r="498" spans="1:9" ht="17">
      <c r="A498" s="26" t="s">
        <v>1093</v>
      </c>
      <c r="B498" s="11" t="s">
        <v>1094</v>
      </c>
      <c r="C498" s="17">
        <v>50000</v>
      </c>
      <c r="D498" s="10" t="s">
        <v>997</v>
      </c>
      <c r="E498" s="26"/>
      <c r="F498" s="26">
        <v>2</v>
      </c>
      <c r="G498" s="29">
        <f>SUMIF([1]!Table3[Kode],[1]!Table1[[#This Row],[Kode]],[1]!Table3[Qty])</f>
        <v>4</v>
      </c>
      <c r="H498" s="29">
        <f>SUMIF([1]!Table35[Kode],[1]!Table1[[#This Row],[Kode]],[1]!Table35[Qty])</f>
        <v>5</v>
      </c>
      <c r="I498" s="30">
        <f>[1]!Table1[[#This Row],[Stock Awal]]+[1]!Table1[[#This Row],[Stok Masuk]]-[1]!Table1[[#This Row],[Stok Keluar]]</f>
        <v>1</v>
      </c>
    </row>
    <row r="499" spans="1:9" ht="17">
      <c r="A499" s="26" t="s">
        <v>1095</v>
      </c>
      <c r="B499" s="11" t="s">
        <v>1096</v>
      </c>
      <c r="C499" s="17">
        <v>50000</v>
      </c>
      <c r="D499" s="10" t="s">
        <v>997</v>
      </c>
      <c r="E499" s="26"/>
      <c r="F499" s="26">
        <v>2</v>
      </c>
      <c r="G499" s="29">
        <f>SUMIF([1]!Table3[Kode],[1]!Table1[[#This Row],[Kode]],[1]!Table3[Qty])</f>
        <v>6</v>
      </c>
      <c r="H499" s="29">
        <f>SUMIF([1]!Table35[Kode],[1]!Table1[[#This Row],[Kode]],[1]!Table35[Qty])</f>
        <v>4</v>
      </c>
      <c r="I499" s="30">
        <f>[1]!Table1[[#This Row],[Stock Awal]]+[1]!Table1[[#This Row],[Stok Masuk]]-[1]!Table1[[#This Row],[Stok Keluar]]</f>
        <v>4</v>
      </c>
    </row>
    <row r="500" spans="1:9" ht="17">
      <c r="A500" s="26" t="s">
        <v>1097</v>
      </c>
      <c r="B500" s="11" t="s">
        <v>1098</v>
      </c>
      <c r="C500" s="17">
        <v>50000</v>
      </c>
      <c r="D500" s="26"/>
      <c r="E500" s="26"/>
      <c r="F500" s="26"/>
      <c r="G500" s="29">
        <f>SUMIF([1]!Table3[Kode],[1]!Table1[[#This Row],[Kode]],[1]!Table3[Qty])</f>
        <v>4</v>
      </c>
      <c r="H500" s="29">
        <f>SUMIF([1]!Table35[Kode],[1]!Table1[[#This Row],[Kode]],[1]!Table35[Qty])</f>
        <v>1</v>
      </c>
      <c r="I500" s="30">
        <f>[1]!Table1[[#This Row],[Stock Awal]]+[1]!Table1[[#This Row],[Stok Masuk]]-[1]!Table1[[#This Row],[Stok Keluar]]</f>
        <v>3</v>
      </c>
    </row>
    <row r="501" spans="1:9" ht="17">
      <c r="A501" s="26" t="s">
        <v>1099</v>
      </c>
      <c r="B501" s="27" t="s">
        <v>1100</v>
      </c>
      <c r="C501" s="28">
        <v>45000</v>
      </c>
      <c r="D501" s="26" t="s">
        <v>1101</v>
      </c>
      <c r="E501" s="26"/>
      <c r="F501" s="26"/>
      <c r="G501" s="29">
        <f>SUMIF([1]!Table3[Kode],[1]!Table1[[#This Row],[Kode]],[1]!Table3[Qty])</f>
        <v>50</v>
      </c>
      <c r="H501" s="29">
        <f>SUMIF([1]!Table35[Kode],[1]!Table1[[#This Row],[Kode]],[1]!Table35[Qty])</f>
        <v>39</v>
      </c>
      <c r="I501" s="30">
        <f>[1]!Table1[[#This Row],[Stock Awal]]+[1]!Table1[[#This Row],[Stok Masuk]]-[1]!Table1[[#This Row],[Stok Keluar]]</f>
        <v>11</v>
      </c>
    </row>
    <row r="502" spans="1:9" ht="34">
      <c r="A502" s="26" t="s">
        <v>1102</v>
      </c>
      <c r="B502" s="27" t="s">
        <v>1103</v>
      </c>
      <c r="C502" s="28">
        <v>60000</v>
      </c>
      <c r="D502" s="26" t="s">
        <v>1104</v>
      </c>
      <c r="E502" s="26"/>
      <c r="F502" s="26"/>
      <c r="G502" s="29">
        <f>SUMIF([1]!Table3[Kode],[1]!Table1[[#This Row],[Kode]],[1]!Table3[Qty])</f>
        <v>20</v>
      </c>
      <c r="H502" s="29">
        <f>SUMIF([1]!Table35[Kode],[1]!Table1[[#This Row],[Kode]],[1]!Table35[Qty])</f>
        <v>4</v>
      </c>
      <c r="I502" s="30">
        <f>[1]!Table1[[#This Row],[Stock Awal]]+[1]!Table1[[#This Row],[Stok Masuk]]-[1]!Table1[[#This Row],[Stok Keluar]]</f>
        <v>16</v>
      </c>
    </row>
    <row r="503" spans="1:9" ht="34">
      <c r="A503" s="26" t="s">
        <v>1105</v>
      </c>
      <c r="B503" s="27" t="s">
        <v>1106</v>
      </c>
      <c r="C503" s="28">
        <v>60000</v>
      </c>
      <c r="D503" s="26" t="s">
        <v>1104</v>
      </c>
      <c r="E503" s="26"/>
      <c r="F503" s="26"/>
      <c r="G503" s="29">
        <f>SUMIF([1]!Table3[Kode],[1]!Table1[[#This Row],[Kode]],[1]!Table3[Qty])</f>
        <v>20</v>
      </c>
      <c r="H503" s="29">
        <f>SUMIF([1]!Table35[Kode],[1]!Table1[[#This Row],[Kode]],[1]!Table35[Qty])</f>
        <v>-13</v>
      </c>
      <c r="I503" s="30">
        <f>[1]!Table1[[#This Row],[Stock Awal]]+[1]!Table1[[#This Row],[Stok Masuk]]-[1]!Table1[[#This Row],[Stok Keluar]]</f>
        <v>33</v>
      </c>
    </row>
    <row r="504" spans="1:9" ht="34">
      <c r="A504" s="26" t="s">
        <v>1107</v>
      </c>
      <c r="B504" s="27" t="s">
        <v>1108</v>
      </c>
      <c r="C504" s="28">
        <v>60000</v>
      </c>
      <c r="D504" s="26"/>
      <c r="E504" s="26"/>
      <c r="F504" s="26"/>
      <c r="G504" s="29">
        <f>SUMIF([1]!Table3[Kode],[1]!Table1[[#This Row],[Kode]],[1]!Table3[Qty])</f>
        <v>0</v>
      </c>
      <c r="H504" s="29">
        <f>SUMIF([1]!Table35[Kode],[1]!Table1[[#This Row],[Kode]],[1]!Table35[Qty])</f>
        <v>-7</v>
      </c>
      <c r="I504" s="30">
        <f>[1]!Table1[[#This Row],[Stock Awal]]+[1]!Table1[[#This Row],[Stok Masuk]]-[1]!Table1[[#This Row],[Stok Keluar]]</f>
        <v>7</v>
      </c>
    </row>
    <row r="505" spans="1:9" ht="34">
      <c r="A505" s="26" t="s">
        <v>1109</v>
      </c>
      <c r="B505" s="27" t="s">
        <v>1110</v>
      </c>
      <c r="C505" s="28">
        <v>70000</v>
      </c>
      <c r="D505" s="26" t="s">
        <v>1111</v>
      </c>
      <c r="E505" s="26"/>
      <c r="F505" s="26"/>
      <c r="G505" s="29">
        <f>SUMIF([1]!Table3[Kode],[1]!Table1[[#This Row],[Kode]],[1]!Table3[Qty])</f>
        <v>10</v>
      </c>
      <c r="H505" s="29">
        <f>SUMIF([1]!Table35[Kode],[1]!Table1[[#This Row],[Kode]],[1]!Table35[Qty])</f>
        <v>2</v>
      </c>
      <c r="I505" s="30">
        <f>[1]!Table1[[#This Row],[Stock Awal]]+[1]!Table1[[#This Row],[Stok Masuk]]-[1]!Table1[[#This Row],[Stok Keluar]]</f>
        <v>8</v>
      </c>
    </row>
    <row r="506" spans="1:9" ht="34">
      <c r="A506" s="26" t="s">
        <v>1112</v>
      </c>
      <c r="B506" s="27" t="s">
        <v>1113</v>
      </c>
      <c r="C506" s="28">
        <v>128000</v>
      </c>
      <c r="D506" s="26"/>
      <c r="E506" s="26"/>
      <c r="F506" s="26"/>
      <c r="G506" s="29">
        <f>SUMIF([1]!Table3[Kode],[1]!Table1[[#This Row],[Kode]],[1]!Table3[Qty])</f>
        <v>0</v>
      </c>
      <c r="H506" s="29">
        <f>SUMIF([1]!Table35[Kode],[1]!Table1[[#This Row],[Kode]],[1]!Table35[Qty])</f>
        <v>-5</v>
      </c>
      <c r="I506" s="30">
        <f>[1]!Table1[[#This Row],[Stock Awal]]+[1]!Table1[[#This Row],[Stok Masuk]]-[1]!Table1[[#This Row],[Stok Keluar]]</f>
        <v>5</v>
      </c>
    </row>
    <row r="507" spans="1:9" ht="34">
      <c r="A507" s="26" t="s">
        <v>1114</v>
      </c>
      <c r="B507" s="27" t="s">
        <v>1115</v>
      </c>
      <c r="C507" s="28">
        <v>55000</v>
      </c>
      <c r="D507" s="26"/>
      <c r="E507" s="26"/>
      <c r="F507" s="26"/>
      <c r="G507" s="29">
        <f>SUMIF([1]!Table3[Kode],[1]!Table1[[#This Row],[Kode]],[1]!Table3[Qty])</f>
        <v>15</v>
      </c>
      <c r="H507" s="29">
        <f>SUMIF([1]!Table35[Kode],[1]!Table1[[#This Row],[Kode]],[1]!Table35[Qty])</f>
        <v>12</v>
      </c>
      <c r="I507" s="30">
        <f>[1]!Table1[[#This Row],[Stock Awal]]+[1]!Table1[[#This Row],[Stok Masuk]]-[1]!Table1[[#This Row],[Stok Keluar]]</f>
        <v>3</v>
      </c>
    </row>
    <row r="508" spans="1:9" ht="17">
      <c r="A508" s="26" t="s">
        <v>1116</v>
      </c>
      <c r="B508" s="27" t="s">
        <v>1117</v>
      </c>
      <c r="C508" s="28">
        <v>70000</v>
      </c>
      <c r="D508" s="26"/>
      <c r="E508" s="26"/>
      <c r="F508" s="26"/>
      <c r="G508" s="29">
        <f>SUMIF([1]!Table3[Kode],[1]!Table1[[#This Row],[Kode]],[1]!Table3[Qty])</f>
        <v>5</v>
      </c>
      <c r="H508" s="29">
        <f>SUMIF([1]!Table35[Kode],[1]!Table1[[#This Row],[Kode]],[1]!Table35[Qty])</f>
        <v>-6</v>
      </c>
      <c r="I508" s="30">
        <f>[1]!Table1[[#This Row],[Stock Awal]]+[1]!Table1[[#This Row],[Stok Masuk]]-[1]!Table1[[#This Row],[Stok Keluar]]</f>
        <v>11</v>
      </c>
    </row>
    <row r="509" spans="1:9" ht="17">
      <c r="A509" s="26" t="s">
        <v>1118</v>
      </c>
      <c r="B509" s="27" t="s">
        <v>1119</v>
      </c>
      <c r="C509" s="28">
        <v>70000</v>
      </c>
      <c r="D509" s="26"/>
      <c r="E509" s="26"/>
      <c r="F509" s="26"/>
      <c r="G509" s="29">
        <f>SUMIF([1]!Table3[Kode],[1]!Table1[[#This Row],[Kode]],[1]!Table3[Qty])</f>
        <v>0</v>
      </c>
      <c r="H509" s="29">
        <f>SUMIF([1]!Table35[Kode],[1]!Table1[[#This Row],[Kode]],[1]!Table35[Qty])</f>
        <v>-5</v>
      </c>
      <c r="I509" s="30">
        <f>[1]!Table1[[#This Row],[Stock Awal]]+[1]!Table1[[#This Row],[Stok Masuk]]-[1]!Table1[[#This Row],[Stok Keluar]]</f>
        <v>5</v>
      </c>
    </row>
    <row r="510" spans="1:9" ht="34">
      <c r="A510" s="26" t="s">
        <v>1120</v>
      </c>
      <c r="B510" s="27" t="s">
        <v>1121</v>
      </c>
      <c r="C510" s="28">
        <v>80000</v>
      </c>
      <c r="D510" s="26"/>
      <c r="E510" s="26"/>
      <c r="F510" s="26"/>
      <c r="G510" s="29">
        <f>SUMIF([1]!Table3[Kode],[1]!Table1[[#This Row],[Kode]],[1]!Table3[Qty])</f>
        <v>0</v>
      </c>
      <c r="H510" s="29">
        <f>SUMIF([1]!Table35[Kode],[1]!Table1[[#This Row],[Kode]],[1]!Table35[Qty])</f>
        <v>-2</v>
      </c>
      <c r="I510" s="30">
        <f>[1]!Table1[[#This Row],[Stock Awal]]+[1]!Table1[[#This Row],[Stok Masuk]]-[1]!Table1[[#This Row],[Stok Keluar]]</f>
        <v>2</v>
      </c>
    </row>
    <row r="511" spans="1:9" ht="34">
      <c r="A511" s="26" t="s">
        <v>1122</v>
      </c>
      <c r="B511" s="27" t="s">
        <v>1123</v>
      </c>
      <c r="C511" s="28">
        <v>80000</v>
      </c>
      <c r="D511" s="26"/>
      <c r="E511" s="26"/>
      <c r="F511" s="26"/>
      <c r="G511" s="29">
        <f>SUMIF([1]!Table3[Kode],[1]!Table1[[#This Row],[Kode]],[1]!Table3[Qty])</f>
        <v>0</v>
      </c>
      <c r="H511" s="29">
        <f>SUMIF([1]!Table35[Kode],[1]!Table1[[#This Row],[Kode]],[1]!Table35[Qty])</f>
        <v>-2</v>
      </c>
      <c r="I511" s="30">
        <f>[1]!Table1[[#This Row],[Stock Awal]]+[1]!Table1[[#This Row],[Stok Masuk]]-[1]!Table1[[#This Row],[Stok Keluar]]</f>
        <v>2</v>
      </c>
    </row>
    <row r="512" spans="1:9" ht="17">
      <c r="A512" s="26" t="s">
        <v>1124</v>
      </c>
      <c r="B512" s="27" t="s">
        <v>1125</v>
      </c>
      <c r="C512" s="28">
        <v>60000</v>
      </c>
      <c r="D512" s="26" t="s">
        <v>1126</v>
      </c>
      <c r="E512" s="26"/>
      <c r="F512" s="26"/>
      <c r="G512" s="29">
        <f>SUMIF([1]!Table3[Kode],[1]!Table1[[#This Row],[Kode]],[1]!Table3[Qty])</f>
        <v>10</v>
      </c>
      <c r="H512" s="29">
        <f>SUMIF([1]!Table35[Kode],[1]!Table1[[#This Row],[Kode]],[1]!Table35[Qty])</f>
        <v>2</v>
      </c>
      <c r="I512" s="30">
        <f>[1]!Table1[[#This Row],[Stock Awal]]+[1]!Table1[[#This Row],[Stok Masuk]]-[1]!Table1[[#This Row],[Stok Keluar]]</f>
        <v>8</v>
      </c>
    </row>
    <row r="513" spans="1:9" ht="17">
      <c r="A513" s="31" t="s">
        <v>1127</v>
      </c>
      <c r="B513" s="58" t="s">
        <v>1128</v>
      </c>
      <c r="C513" s="59"/>
      <c r="D513" s="31" t="s">
        <v>1129</v>
      </c>
      <c r="E513" s="31"/>
      <c r="F513" s="31"/>
      <c r="G513" s="60">
        <f>SUMIF([1]!Table3[Kode],[1]!Table1[[#This Row],[Kode]],[1]!Table3[Qty])</f>
        <v>10</v>
      </c>
      <c r="H513" s="60">
        <f>SUMIF([1]!Table35[Kode],[1]!Table1[[#This Row],[Kode]],[1]!Table35[Qty])</f>
        <v>6</v>
      </c>
      <c r="I513" s="61">
        <f>[1]!Table1[[#This Row],[Stock Awal]]+[1]!Table1[[#This Row],[Stok Masuk]]-[1]!Table1[[#This Row],[Stok Keluar]]</f>
        <v>4</v>
      </c>
    </row>
    <row r="514" spans="1:9" ht="17">
      <c r="A514" s="31" t="s">
        <v>1130</v>
      </c>
      <c r="B514" s="58" t="s">
        <v>1131</v>
      </c>
      <c r="C514" s="59">
        <v>60000</v>
      </c>
      <c r="D514" s="31" t="s">
        <v>1126</v>
      </c>
      <c r="E514" s="31"/>
      <c r="F514" s="31"/>
      <c r="G514" s="60">
        <f>SUMIF([1]!Table3[Kode],[1]!Table1[[#This Row],[Kode]],[1]!Table3[Qty])</f>
        <v>2</v>
      </c>
      <c r="H514" s="60">
        <f>SUMIF([1]!Table35[Kode],[1]!Table1[[#This Row],[Kode]],[1]!Table35[Qty])</f>
        <v>0</v>
      </c>
      <c r="I514" s="61">
        <f>[1]!Table1[[#This Row],[Stock Awal]]+[1]!Table1[[#This Row],[Stok Masuk]]-[1]!Table1[[#This Row],[Stok Keluar]]</f>
        <v>2</v>
      </c>
    </row>
    <row r="515" spans="1:9" ht="17">
      <c r="A515" s="26" t="s">
        <v>1132</v>
      </c>
      <c r="B515" s="27" t="s">
        <v>1133</v>
      </c>
      <c r="C515" s="28">
        <v>45000</v>
      </c>
      <c r="D515" s="26" t="s">
        <v>1134</v>
      </c>
      <c r="E515" s="26"/>
      <c r="F515" s="26"/>
      <c r="G515" s="29">
        <f>SUMIF([1]!Table3[Kode],[1]!Table1[[#This Row],[Kode]],[1]!Table3[Qty])</f>
        <v>40</v>
      </c>
      <c r="H515" s="29">
        <f>SUMIF([1]!Table35[Kode],[1]!Table1[[#This Row],[Kode]],[1]!Table35[Qty])</f>
        <v>17</v>
      </c>
      <c r="I515" s="30">
        <f>[1]!Table1[[#This Row],[Stock Awal]]+[1]!Table1[[#This Row],[Stok Masuk]]-[1]!Table1[[#This Row],[Stok Keluar]]</f>
        <v>23</v>
      </c>
    </row>
    <row r="516" spans="1:9" ht="17">
      <c r="A516" s="26" t="s">
        <v>1135</v>
      </c>
      <c r="B516" s="27" t="s">
        <v>1136</v>
      </c>
      <c r="C516" s="28">
        <v>120000</v>
      </c>
      <c r="D516" s="26" t="s">
        <v>1137</v>
      </c>
      <c r="E516" s="26"/>
      <c r="F516" s="26"/>
      <c r="G516" s="29">
        <f>SUMIF([1]!Table3[Kode],[1]!Table1[[#This Row],[Kode]],[1]!Table3[Qty])</f>
        <v>20</v>
      </c>
      <c r="H516" s="29">
        <f>SUMIF([1]!Table35[Kode],[1]!Table1[[#This Row],[Kode]],[1]!Table35[Qty])</f>
        <v>2</v>
      </c>
      <c r="I516" s="30">
        <f>[1]!Table1[[#This Row],[Stock Awal]]+[1]!Table1[[#This Row],[Stok Masuk]]-[1]!Table1[[#This Row],[Stok Keluar]]</f>
        <v>18</v>
      </c>
    </row>
    <row r="517" spans="1:9" ht="34">
      <c r="A517" s="10" t="s">
        <v>1138</v>
      </c>
      <c r="B517" s="11" t="s">
        <v>1139</v>
      </c>
      <c r="C517" s="17">
        <v>22000</v>
      </c>
      <c r="D517" s="10" t="s">
        <v>1140</v>
      </c>
      <c r="E517" s="10"/>
      <c r="F517" s="10"/>
      <c r="G517" s="13">
        <f>SUMIF([1]!Table3[Kode],[1]!Table1[[#This Row],[Kode]],[1]!Table3[Qty])</f>
        <v>100</v>
      </c>
      <c r="H517" s="13">
        <f>SUMIF([1]!Table35[Kode],[1]!Table1[[#This Row],[Kode]],[1]!Table35[Qty])</f>
        <v>45</v>
      </c>
      <c r="I517" s="14">
        <f>[1]!Table1[[#This Row],[Stock Awal]]+[1]!Table1[[#This Row],[Stok Masuk]]-[1]!Table1[[#This Row],[Stok Keluar]]</f>
        <v>55</v>
      </c>
    </row>
    <row r="518" spans="1:9" ht="34">
      <c r="A518" s="26" t="s">
        <v>1141</v>
      </c>
      <c r="B518" s="27" t="s">
        <v>1142</v>
      </c>
      <c r="C518" s="28">
        <v>25000</v>
      </c>
      <c r="D518" s="26" t="s">
        <v>1143</v>
      </c>
      <c r="E518" s="26"/>
      <c r="F518" s="26"/>
      <c r="G518" s="29">
        <f>SUMIF([1]!Table3[Kode],[1]!Table1[[#This Row],[Kode]],[1]!Table3[Qty])</f>
        <v>10</v>
      </c>
      <c r="H518" s="29">
        <f>SUMIF([1]!Table35[Kode],[1]!Table1[[#This Row],[Kode]],[1]!Table35[Qty])</f>
        <v>4</v>
      </c>
      <c r="I518" s="30">
        <f>[1]!Table1[[#This Row],[Stock Awal]]+[1]!Table1[[#This Row],[Stok Masuk]]-[1]!Table1[[#This Row],[Stok Keluar]]</f>
        <v>6</v>
      </c>
    </row>
    <row r="519" spans="1:9" ht="34">
      <c r="A519" s="26" t="s">
        <v>1144</v>
      </c>
      <c r="B519" s="27" t="s">
        <v>1145</v>
      </c>
      <c r="C519" s="28"/>
      <c r="D519" s="26"/>
      <c r="E519" s="26"/>
      <c r="F519" s="26"/>
      <c r="G519" s="29">
        <f>SUMIF([1]!Table3[Kode],[1]!Table1[[#This Row],[Kode]],[1]!Table3[Qty])</f>
        <v>40</v>
      </c>
      <c r="H519" s="29">
        <f>SUMIF([1]!Table35[Kode],[1]!Table1[[#This Row],[Kode]],[1]!Table35[Qty])</f>
        <v>40</v>
      </c>
      <c r="I519" s="30">
        <f>[1]!Table1[[#This Row],[Stock Awal]]+[1]!Table1[[#This Row],[Stok Masuk]]-[1]!Table1[[#This Row],[Stok Keluar]]</f>
        <v>0</v>
      </c>
    </row>
    <row r="520" spans="1:9" ht="17">
      <c r="A520" s="26" t="s">
        <v>1146</v>
      </c>
      <c r="B520" s="27" t="s">
        <v>1147</v>
      </c>
      <c r="C520" s="28">
        <v>120000</v>
      </c>
      <c r="D520" s="26" t="s">
        <v>1148</v>
      </c>
      <c r="E520" s="26" t="s">
        <v>1149</v>
      </c>
      <c r="F520" s="26"/>
      <c r="G520" s="29">
        <f>SUMIF([1]!Table3[Kode],[1]!Table1[[#This Row],[Kode]],[1]!Table3[Qty])</f>
        <v>20</v>
      </c>
      <c r="H520" s="29">
        <f>SUMIF([1]!Table35[Kode],[1]!Table1[[#This Row],[Kode]],[1]!Table35[Qty])</f>
        <v>0</v>
      </c>
      <c r="I520" s="30">
        <f>[1]!Table1[[#This Row],[Stock Awal]]+[1]!Table1[[#This Row],[Stok Masuk]]-[1]!Table1[[#This Row],[Stok Keluar]]</f>
        <v>20</v>
      </c>
    </row>
    <row r="521" spans="1:9" ht="17">
      <c r="A521" s="26" t="s">
        <v>1150</v>
      </c>
      <c r="B521" s="27" t="s">
        <v>1151</v>
      </c>
      <c r="C521" s="28">
        <v>120000</v>
      </c>
      <c r="D521" s="26" t="s">
        <v>1148</v>
      </c>
      <c r="E521" s="26" t="s">
        <v>1152</v>
      </c>
      <c r="F521" s="26"/>
      <c r="G521" s="29">
        <f>SUMIF([1]!Table3[Kode],[1]!Table1[[#This Row],[Kode]],[1]!Table3[Qty])</f>
        <v>20</v>
      </c>
      <c r="H521" s="29">
        <f>SUMIF([1]!Table35[Kode],[1]!Table1[[#This Row],[Kode]],[1]!Table35[Qty])</f>
        <v>0</v>
      </c>
      <c r="I521" s="30">
        <f>[1]!Table1[[#This Row],[Stock Awal]]+[1]!Table1[[#This Row],[Stok Masuk]]-[1]!Table1[[#This Row],[Stok Keluar]]</f>
        <v>20</v>
      </c>
    </row>
    <row r="522" spans="1:9" ht="17">
      <c r="A522" s="26" t="s">
        <v>1153</v>
      </c>
      <c r="B522" s="27" t="s">
        <v>1154</v>
      </c>
      <c r="C522" s="28">
        <v>90000</v>
      </c>
      <c r="D522" s="26"/>
      <c r="E522" s="26"/>
      <c r="F522" s="26"/>
      <c r="G522" s="29">
        <f>SUMIF([1]!Table3[Kode],[1]!Table1[[#This Row],[Kode]],[1]!Table3[Qty])</f>
        <v>36</v>
      </c>
      <c r="H522" s="29">
        <f>SUMIF([1]!Table35[Kode],[1]!Table1[[#This Row],[Kode]],[1]!Table35[Qty])</f>
        <v>15</v>
      </c>
      <c r="I522" s="30">
        <f>[1]!Table1[[#This Row],[Stock Awal]]+[1]!Table1[[#This Row],[Stok Masuk]]-[1]!Table1[[#This Row],[Stok Keluar]]</f>
        <v>21</v>
      </c>
    </row>
    <row r="523" spans="1:9" ht="17">
      <c r="A523" s="26" t="s">
        <v>1155</v>
      </c>
      <c r="B523" s="27" t="s">
        <v>1156</v>
      </c>
      <c r="C523" s="28"/>
      <c r="D523" s="26"/>
      <c r="E523" s="26"/>
      <c r="F523" s="26"/>
      <c r="G523" s="29">
        <f>SUMIF([1]!Table3[Kode],[1]!Table1[[#This Row],[Kode]],[1]!Table3[Qty])</f>
        <v>1</v>
      </c>
      <c r="H523" s="29">
        <f>SUMIF([1]!Table35[Kode],[1]!Table1[[#This Row],[Kode]],[1]!Table35[Qty])</f>
        <v>0</v>
      </c>
      <c r="I523" s="30">
        <f>[1]!Table1[[#This Row],[Stock Awal]]+[1]!Table1[[#This Row],[Stok Masuk]]-[1]!Table1[[#This Row],[Stok Keluar]]</f>
        <v>1</v>
      </c>
    </row>
    <row r="524" spans="1:9" ht="17">
      <c r="A524" s="26" t="s">
        <v>1157</v>
      </c>
      <c r="B524" s="27" t="s">
        <v>1158</v>
      </c>
      <c r="C524" s="28"/>
      <c r="D524" s="26"/>
      <c r="E524" s="26"/>
      <c r="F524" s="26"/>
      <c r="G524" s="29">
        <f>SUMIF([1]!Table3[Kode],[1]!Table1[[#This Row],[Kode]],[1]!Table3[Qty])</f>
        <v>1</v>
      </c>
      <c r="H524" s="29">
        <f>SUMIF([1]!Table35[Kode],[1]!Table1[[#This Row],[Kode]],[1]!Table35[Qty])</f>
        <v>0</v>
      </c>
      <c r="I524" s="30">
        <f>[1]!Table1[[#This Row],[Stock Awal]]+[1]!Table1[[#This Row],[Stok Masuk]]-[1]!Table1[[#This Row],[Stok Keluar]]</f>
        <v>1</v>
      </c>
    </row>
    <row r="525" spans="1:9" ht="17">
      <c r="A525" s="26" t="s">
        <v>1159</v>
      </c>
      <c r="B525" s="27" t="s">
        <v>1160</v>
      </c>
      <c r="C525" s="28"/>
      <c r="D525" s="26"/>
      <c r="E525" s="26"/>
      <c r="F525" s="26"/>
      <c r="G525" s="29">
        <f>SUMIF([1]!Table3[Kode],[1]!Table1[[#This Row],[Kode]],[1]!Table3[Qty])</f>
        <v>20</v>
      </c>
      <c r="H525" s="29">
        <f>SUMIF([1]!Table35[Kode],[1]!Table1[[#This Row],[Kode]],[1]!Table35[Qty])</f>
        <v>20</v>
      </c>
      <c r="I525" s="30">
        <f>[1]!Table1[[#This Row],[Stock Awal]]+[1]!Table1[[#This Row],[Stok Masuk]]-[1]!Table1[[#This Row],[Stok Keluar]]</f>
        <v>0</v>
      </c>
    </row>
    <row r="526" spans="1:9" ht="17">
      <c r="A526" s="26" t="s">
        <v>1161</v>
      </c>
      <c r="B526" s="27" t="s">
        <v>1162</v>
      </c>
      <c r="C526" s="28"/>
      <c r="D526" s="26"/>
      <c r="E526" s="26"/>
      <c r="F526" s="26"/>
      <c r="G526" s="29">
        <f>SUMIF([1]!Table3[Kode],[1]!Table1[[#This Row],[Kode]],[1]!Table3[Qty])</f>
        <v>20</v>
      </c>
      <c r="H526" s="29">
        <f>SUMIF([1]!Table35[Kode],[1]!Table1[[#This Row],[Kode]],[1]!Table35[Qty])</f>
        <v>0</v>
      </c>
      <c r="I526" s="30">
        <f>[1]!Table1[[#This Row],[Stock Awal]]+[1]!Table1[[#This Row],[Stok Masuk]]-[1]!Table1[[#This Row],[Stok Keluar]]</f>
        <v>20</v>
      </c>
    </row>
    <row r="527" spans="1:9" ht="34">
      <c r="A527" s="26" t="s">
        <v>1163</v>
      </c>
      <c r="B527" s="27" t="s">
        <v>1164</v>
      </c>
      <c r="C527" s="28">
        <v>50000</v>
      </c>
      <c r="D527" s="26"/>
      <c r="E527" s="26"/>
      <c r="F527" s="26"/>
      <c r="G527" s="29">
        <f>SUMIF([1]!Table3[Kode],[1]!Table1[[#This Row],[Kode]],[1]!Table3[Qty])</f>
        <v>0</v>
      </c>
      <c r="H527" s="29">
        <f>SUMIF([1]!Table35[Kode],[1]!Table1[[#This Row],[Kode]],[1]!Table35[Qty])</f>
        <v>-13</v>
      </c>
      <c r="I527" s="30">
        <f>[1]!Table1[[#This Row],[Stock Awal]]+[1]!Table1[[#This Row],[Stok Masuk]]-[1]!Table1[[#This Row],[Stok Keluar]]</f>
        <v>13</v>
      </c>
    </row>
  </sheetData>
  <mergeCells count="1">
    <mergeCell ref="A1:I1"/>
  </mergeCells>
  <conditionalFormatting sqref="A4:A527">
    <cfRule type="duplicateValues" dxfId="8" priority="9"/>
  </conditionalFormatting>
  <conditionalFormatting sqref="A234:A266">
    <cfRule type="duplicateValues" dxfId="7" priority="8"/>
  </conditionalFormatting>
  <conditionalFormatting sqref="A336:A406 A408:A495 A4:A266 A268:A272 A306:A332">
    <cfRule type="duplicateValues" dxfId="6" priority="5"/>
  </conditionalFormatting>
  <conditionalFormatting sqref="A336:A406 A408:A495 A268:A272 A306:A332 A4:A233">
    <cfRule type="duplicateValues" dxfId="5" priority="6"/>
  </conditionalFormatting>
  <conditionalFormatting sqref="B4:B266 B268:B272 B306:B333 B477:B500 B408:B471 B336:B406">
    <cfRule type="duplicateValues" dxfId="4" priority="7"/>
  </conditionalFormatting>
  <conditionalFormatting sqref="B286:B287">
    <cfRule type="duplicateValues" dxfId="3" priority="4"/>
  </conditionalFormatting>
  <conditionalFormatting sqref="B288">
    <cfRule type="duplicateValues" dxfId="2" priority="2"/>
  </conditionalFormatting>
  <conditionalFormatting sqref="B289:B290">
    <cfRule type="duplicateValues" dxfId="1" priority="3"/>
  </conditionalFormatting>
  <conditionalFormatting sqref="B293">
    <cfRule type="duplicateValues" dxfId="0" priority="1"/>
  </conditionalFormatting>
  <hyperlinks>
    <hyperlink ref="A375" r:id="rId1" display="SP@" xr:uid="{99409DAE-8620-DA43-8FD0-6FC10ADA6EA6}"/>
    <hyperlink ref="A377" r:id="rId2" display="SP@" xr:uid="{C643AFDC-566E-9740-98B2-53F417E82096}"/>
    <hyperlink ref="A379" r:id="rId3" display="SP@" xr:uid="{38409B54-E23F-7046-83FD-AF539458920D}"/>
    <hyperlink ref="A381" r:id="rId4" display="SP@" xr:uid="{E2EB863F-504E-8C4D-BB25-86C159BE7C53}"/>
    <hyperlink ref="A383" r:id="rId5" display="SP@" xr:uid="{27BDD551-568F-6644-B507-907DBBC34E84}"/>
    <hyperlink ref="A385" r:id="rId6" display="SP@" xr:uid="{0085D281-EBA9-6E43-9B39-FB9DAF04099F}"/>
    <hyperlink ref="A387" r:id="rId7" display="SP@" xr:uid="{859B27C1-5239-9A4E-BE7F-206955BA5625}"/>
    <hyperlink ref="A389" r:id="rId8" display="SP@" xr:uid="{26718E1F-9C5C-E043-8A2E-5C8D05B88386}"/>
    <hyperlink ref="A391" r:id="rId9" display="SP@" xr:uid="{40EDE506-5CB1-7147-8B59-58574966BE9A}"/>
    <hyperlink ref="A392:A394" r:id="rId10" display="SP@" xr:uid="{1293BAC2-BF51-B74B-87EB-8408297B1D91}"/>
    <hyperlink ref="A395:A398" r:id="rId11" display="SP@" xr:uid="{75EECE8F-7C7C-1344-8FFC-62B46C96F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Winnaria Zheng</dc:creator>
  <cp:lastModifiedBy>Winnaria Zheng</cp:lastModifiedBy>
  <dcterms:created xsi:type="dcterms:W3CDTF">2026-03-29T15:30:50Z</dcterms:created>
  <dcterms:modified xsi:type="dcterms:W3CDTF">2026-03-29T15:31:16Z</dcterms:modified>
</cp:coreProperties>
</file>