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09212B6E-D1DE-EC4E-B608-95BA104D88F8}" xr6:coauthVersionLast="47" xr6:coauthVersionMax="47" xr10:uidLastSave="{00000000-0000-0000-0000-000000000000}"/>
  <bookViews>
    <workbookView xWindow="0" yWindow="500" windowWidth="28800" windowHeight="16300" activeTab="1" xr2:uid="{AFDB3510-54C8-9440-AFC5-3D89271EDEBE}"/>
  </bookViews>
  <sheets>
    <sheet name="Pencatatan" sheetId="1" r:id="rId1"/>
    <sheet name="Pembel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" i="2" l="1"/>
  <c r="E89" i="2"/>
  <c r="J89" i="2" s="1"/>
  <c r="J88" i="2"/>
  <c r="J87" i="2"/>
  <c r="J86" i="2"/>
  <c r="J85" i="2"/>
  <c r="J84" i="2"/>
  <c r="J83" i="2"/>
  <c r="J82" i="2"/>
  <c r="J81" i="2"/>
  <c r="J80" i="2"/>
  <c r="E77" i="2"/>
  <c r="J77" i="2" s="1"/>
  <c r="E76" i="2"/>
  <c r="J76" i="2" s="1"/>
  <c r="J75" i="2"/>
  <c r="E75" i="2"/>
  <c r="E74" i="2"/>
  <c r="J74" i="2" s="1"/>
  <c r="E73" i="2"/>
  <c r="J73" i="2" s="1"/>
  <c r="J72" i="2"/>
  <c r="J71" i="2"/>
  <c r="E70" i="2"/>
  <c r="J70" i="2" s="1"/>
  <c r="J69" i="2"/>
  <c r="J68" i="2"/>
  <c r="E67" i="2"/>
  <c r="E65" i="2"/>
  <c r="J65" i="2" s="1"/>
  <c r="J64" i="2"/>
  <c r="E64" i="2"/>
  <c r="E63" i="2"/>
  <c r="J63" i="2" s="1"/>
  <c r="E62" i="2"/>
  <c r="J62" i="2" s="1"/>
  <c r="E61" i="2"/>
  <c r="J61" i="2" s="1"/>
  <c r="J60" i="2"/>
  <c r="E60" i="2"/>
  <c r="E59" i="2"/>
  <c r="J59" i="2" s="1"/>
  <c r="E58" i="2"/>
  <c r="J58" i="2" s="1"/>
  <c r="E57" i="2"/>
  <c r="J57" i="2" s="1"/>
  <c r="E56" i="2"/>
  <c r="J56" i="2" s="1"/>
  <c r="E55" i="2"/>
  <c r="J55" i="2" s="1"/>
  <c r="E54" i="2"/>
  <c r="J54" i="2" s="1"/>
  <c r="D53" i="2"/>
  <c r="E53" i="2" s="1"/>
  <c r="J53" i="2" s="1"/>
  <c r="J52" i="2"/>
  <c r="E51" i="2"/>
  <c r="J51" i="2" s="1"/>
  <c r="J50" i="2"/>
  <c r="E49" i="2"/>
  <c r="J49" i="2" s="1"/>
  <c r="D48" i="2"/>
  <c r="E48" i="2" s="1"/>
  <c r="J48" i="2" s="1"/>
  <c r="E47" i="2"/>
  <c r="J47" i="2" s="1"/>
  <c r="E46" i="2"/>
  <c r="J46" i="2" s="1"/>
  <c r="E42" i="2"/>
  <c r="J42" i="2" s="1"/>
  <c r="J41" i="2"/>
  <c r="J40" i="2"/>
  <c r="J39" i="2"/>
  <c r="E38" i="2"/>
  <c r="J38" i="2" s="1"/>
  <c r="J37" i="2"/>
  <c r="J36" i="2"/>
  <c r="J35" i="2"/>
  <c r="J34" i="2"/>
  <c r="J33" i="2"/>
  <c r="J32" i="2"/>
  <c r="J31" i="2"/>
  <c r="J30" i="2"/>
  <c r="J29" i="2"/>
  <c r="J28" i="2"/>
  <c r="J27" i="2"/>
  <c r="J26" i="2"/>
  <c r="E25" i="2"/>
  <c r="J25" i="2" s="1"/>
  <c r="J24" i="2"/>
  <c r="J23" i="2"/>
  <c r="J22" i="2"/>
  <c r="J21" i="2"/>
  <c r="J20" i="2"/>
  <c r="E19" i="2"/>
  <c r="J19" i="2" s="1"/>
  <c r="E18" i="2"/>
  <c r="J18" i="2" s="1"/>
  <c r="E17" i="2"/>
  <c r="J17" i="2" s="1"/>
  <c r="J16" i="2"/>
  <c r="J15" i="2"/>
  <c r="J14" i="2"/>
  <c r="J13" i="2"/>
  <c r="J12" i="2"/>
  <c r="J11" i="2"/>
  <c r="J10" i="2"/>
  <c r="J9" i="2"/>
  <c r="J8" i="2"/>
  <c r="J7" i="2"/>
  <c r="J6" i="2"/>
  <c r="J5" i="2"/>
  <c r="E4" i="2"/>
  <c r="J4" i="2" s="1"/>
  <c r="J3" i="2"/>
  <c r="J2" i="2"/>
  <c r="J90" i="2" l="1"/>
  <c r="J66" i="2"/>
  <c r="J78" i="2"/>
  <c r="J92" i="2" s="1"/>
  <c r="J94" i="2" s="1"/>
  <c r="G274" i="1" l="1"/>
  <c r="H274" i="1" s="1"/>
  <c r="G273" i="1"/>
  <c r="H273" i="1" s="1"/>
  <c r="G272" i="1"/>
  <c r="H272" i="1" s="1"/>
  <c r="H250" i="1"/>
  <c r="H256" i="1" s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E41" i="1"/>
  <c r="G41" i="1" s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E11" i="1"/>
  <c r="G11" i="1" s="1"/>
  <c r="G10" i="1"/>
  <c r="G9" i="1"/>
  <c r="G8" i="1"/>
  <c r="G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G6" i="1"/>
  <c r="F4" i="1"/>
  <c r="D4" i="1"/>
  <c r="E4" i="1" l="1"/>
  <c r="H276" i="1"/>
  <c r="D249" i="1"/>
  <c r="D256" i="1" s="1"/>
  <c r="G4" i="1"/>
  <c r="D259" i="1" l="1"/>
  <c r="D258" i="1" l="1"/>
  <c r="D268" i="1" s="1"/>
</calcChain>
</file>

<file path=xl/sharedStrings.xml><?xml version="1.0" encoding="utf-8"?>
<sst xmlns="http://schemas.openxmlformats.org/spreadsheetml/2006/main" count="465" uniqueCount="148">
  <si>
    <t>Bees Fleur</t>
  </si>
  <si>
    <t>Sales Dec 2025</t>
    <phoneticPr fontId="0" type="noConversion"/>
  </si>
  <si>
    <t>No</t>
  </si>
  <si>
    <t>Date</t>
  </si>
  <si>
    <t>Model</t>
  </si>
  <si>
    <t>Money</t>
  </si>
  <si>
    <t>Fee</t>
  </si>
  <si>
    <t>Gosend</t>
  </si>
  <si>
    <t>Total</t>
  </si>
  <si>
    <t>GB</t>
    <phoneticPr fontId="0" type="noConversion"/>
  </si>
  <si>
    <t>BB</t>
    <phoneticPr fontId="0" type="noConversion"/>
  </si>
  <si>
    <t>FB</t>
    <phoneticPr fontId="0" type="noConversion"/>
  </si>
  <si>
    <t>PAPAN BUNGA</t>
    <phoneticPr fontId="0" type="noConversion"/>
  </si>
  <si>
    <t>MB</t>
    <phoneticPr fontId="0" type="noConversion"/>
  </si>
  <si>
    <t>FRESH</t>
    <phoneticPr fontId="0" type="noConversion"/>
  </si>
  <si>
    <t>FB BOX</t>
    <phoneticPr fontId="0" type="noConversion"/>
  </si>
  <si>
    <t>STANDING ACRYLIC</t>
    <phoneticPr fontId="0" type="noConversion"/>
  </si>
  <si>
    <t>ACRYLIC FLOWER ROUND</t>
    <phoneticPr fontId="0" type="noConversion"/>
  </si>
  <si>
    <t>ACRYLIC STANDING</t>
    <phoneticPr fontId="0" type="noConversion"/>
  </si>
  <si>
    <t>MANEKINEKO</t>
    <phoneticPr fontId="0" type="noConversion"/>
  </si>
  <si>
    <t>PF]</t>
    <phoneticPr fontId="0" type="noConversion"/>
  </si>
  <si>
    <t>GLASS DOME</t>
    <phoneticPr fontId="0" type="noConversion"/>
  </si>
  <si>
    <t>KAWAT BULU</t>
    <phoneticPr fontId="0" type="noConversion"/>
  </si>
  <si>
    <t>ROSE RIBBON</t>
    <phoneticPr fontId="0" type="noConversion"/>
  </si>
  <si>
    <t>MOMS</t>
    <phoneticPr fontId="0" type="noConversion"/>
  </si>
  <si>
    <t>MB + FB</t>
    <phoneticPr fontId="0" type="noConversion"/>
  </si>
  <si>
    <t>Pendapatan Florist Nov</t>
    <phoneticPr fontId="0" type="noConversion"/>
  </si>
  <si>
    <t>Pendapatan Supply Nov</t>
    <phoneticPr fontId="0" type="noConversion"/>
  </si>
  <si>
    <t>Gosend bulan Dec</t>
    <phoneticPr fontId="0" type="noConversion"/>
  </si>
  <si>
    <t>Workshop</t>
    <phoneticPr fontId="0" type="noConversion"/>
  </si>
  <si>
    <t>PRIVATE CLASS JULINAR</t>
    <phoneticPr fontId="0" type="noConversion"/>
  </si>
  <si>
    <t>META ADS</t>
    <phoneticPr fontId="0" type="noConversion"/>
  </si>
  <si>
    <t>PULSA</t>
    <phoneticPr fontId="0" type="noConversion"/>
  </si>
  <si>
    <t>Laba Kotor</t>
    <phoneticPr fontId="0" type="noConversion"/>
  </si>
  <si>
    <t>Total</t>
    <phoneticPr fontId="0" type="noConversion"/>
  </si>
  <si>
    <t>Penghasilan Sinta (40%)</t>
    <phoneticPr fontId="0" type="noConversion"/>
  </si>
  <si>
    <t>Penghasilan Winna (10%)</t>
    <phoneticPr fontId="0" type="noConversion"/>
  </si>
  <si>
    <t>Meta Ads (Sinta)</t>
    <phoneticPr fontId="0" type="noConversion"/>
  </si>
  <si>
    <t>Pulsa HP Toko (Sinta)</t>
    <phoneticPr fontId="0" type="noConversion"/>
  </si>
  <si>
    <t>IG Ads (Winna)</t>
    <phoneticPr fontId="0" type="noConversion"/>
  </si>
  <si>
    <t>ATB + PLN (Winna)</t>
    <phoneticPr fontId="0" type="noConversion"/>
  </si>
  <si>
    <t>Biaya Endorse story (Winna)</t>
    <phoneticPr fontId="0" type="noConversion"/>
  </si>
  <si>
    <t>Gaji Karyawan (ELISA)</t>
    <phoneticPr fontId="0" type="noConversion"/>
  </si>
  <si>
    <t>Gaji Karyawan (IRA)</t>
    <phoneticPr fontId="0" type="noConversion"/>
  </si>
  <si>
    <t>Laba Bersih</t>
    <phoneticPr fontId="0" type="noConversion"/>
  </si>
  <si>
    <t>Price</t>
    <phoneticPr fontId="0" type="noConversion"/>
  </si>
  <si>
    <t>Yina (10%)</t>
    <phoneticPr fontId="0" type="noConversion"/>
  </si>
  <si>
    <t>Pembelian</t>
  </si>
  <si>
    <t>Biaya Toko</t>
  </si>
  <si>
    <t>Pembelian Bahan Baku</t>
  </si>
  <si>
    <t>MB = Money Bouquet</t>
  </si>
  <si>
    <t>FB= Flower Bouquet</t>
  </si>
  <si>
    <t>MOMS= Mom's Edition (Limited Edition)</t>
  </si>
  <si>
    <t>GB= Graduation Bouquet</t>
  </si>
  <si>
    <t>Item</t>
  </si>
  <si>
    <t>RMB</t>
  </si>
  <si>
    <t>IDR</t>
  </si>
  <si>
    <t>Freight</t>
  </si>
  <si>
    <t>No Resi</t>
  </si>
  <si>
    <t>Kode</t>
  </si>
  <si>
    <t>Estimate Arrived</t>
  </si>
  <si>
    <t>TOTAL</t>
  </si>
  <si>
    <t>Ongkir GES 11N0</t>
  </si>
  <si>
    <t>Bees</t>
  </si>
  <si>
    <t>Ongkir GES 11M8/25k</t>
  </si>
  <si>
    <t xml:space="preserve">Besi Standing </t>
  </si>
  <si>
    <t>Baby Breath Shopee</t>
  </si>
  <si>
    <t>Boneka Wisuda 30 pcs</t>
  </si>
  <si>
    <t>Busa Basah 20pcs Gracella</t>
  </si>
  <si>
    <t>Boneka wisuda 25pcs</t>
  </si>
  <si>
    <t>Ongkir GES 11L0</t>
  </si>
  <si>
    <t>Ongkir BTM/BSS88</t>
  </si>
  <si>
    <t>Kertas Print packing</t>
  </si>
  <si>
    <t>bloombox gracella</t>
  </si>
  <si>
    <t>Teh 千里江山</t>
  </si>
  <si>
    <t>SF3278389168126</t>
  </si>
  <si>
    <t>12P7</t>
  </si>
  <si>
    <t>Teh 红色礼盒</t>
  </si>
  <si>
    <t>SF1562115166263</t>
  </si>
  <si>
    <t>the 龙腾盛世</t>
  </si>
  <si>
    <t>SF3269248488718</t>
  </si>
  <si>
    <t>Ongkir GES 11N1</t>
  </si>
  <si>
    <t>Ongkir GES 11N1/25k</t>
  </si>
  <si>
    <t>Pink Polos 5 pack</t>
  </si>
  <si>
    <t>lem tembak</t>
  </si>
  <si>
    <t>greeting stick</t>
  </si>
  <si>
    <t>Paper Bag kecil</t>
  </si>
  <si>
    <t>Baby breath shopee</t>
  </si>
  <si>
    <t>cotton shopee</t>
  </si>
  <si>
    <t>Paperbag besar</t>
  </si>
  <si>
    <t>Ongkir GES 11P0/25K</t>
  </si>
  <si>
    <t>tip ex kertas</t>
  </si>
  <si>
    <t>isi staples</t>
  </si>
  <si>
    <t>isi lem tembak</t>
  </si>
  <si>
    <t>lakban besar</t>
  </si>
  <si>
    <t>Busa Kering</t>
  </si>
  <si>
    <t>Ongkir GES 11Q2</t>
  </si>
  <si>
    <t>ornament kecil</t>
  </si>
  <si>
    <t>773398805186841</t>
  </si>
  <si>
    <t>01M9/26 K</t>
  </si>
  <si>
    <t>Supply</t>
  </si>
  <si>
    <t>Standing Flower Gold 10 pcs</t>
  </si>
  <si>
    <t>78962704903923</t>
  </si>
  <si>
    <t>Artificial Flower red</t>
  </si>
  <si>
    <t>760204945429</t>
  </si>
  <si>
    <t>12N7</t>
  </si>
  <si>
    <t>Champagne Rose 1688</t>
  </si>
  <si>
    <t>434926176379879</t>
  </si>
  <si>
    <t>12P5/25k</t>
  </si>
  <si>
    <t>Red &amp; Pink Rose</t>
  </si>
  <si>
    <t>434930819698776</t>
  </si>
  <si>
    <t>kaki standing akrilik</t>
  </si>
  <si>
    <t>Bloombox 1688</t>
  </si>
  <si>
    <t>YT7589162387728</t>
  </si>
  <si>
    <t>Ayam Penyet</t>
  </si>
  <si>
    <t>Paper 1688</t>
  </si>
  <si>
    <t>78965546787664-7298-8515</t>
  </si>
  <si>
    <t>Baby Breath 1688</t>
  </si>
  <si>
    <t>78967001739602</t>
  </si>
  <si>
    <t>cotton 1688</t>
  </si>
  <si>
    <t>112457162858</t>
  </si>
  <si>
    <t>rose merah 1688</t>
  </si>
  <si>
    <t>434969249849882</t>
  </si>
  <si>
    <t>rose pink 1688</t>
  </si>
  <si>
    <t>434969243742607</t>
  </si>
  <si>
    <t>rose pink nude blue 1688</t>
  </si>
  <si>
    <t>434970957249578</t>
  </si>
  <si>
    <t>01N2/26 K</t>
  </si>
  <si>
    <t>Tota Pembelian</t>
  </si>
  <si>
    <t>Top Up Gosend</t>
  </si>
  <si>
    <t>Facebook ads</t>
  </si>
  <si>
    <t>ATB PLN</t>
  </si>
  <si>
    <t>biaya admin bank BCA</t>
  </si>
  <si>
    <t>Kebersihan DCMALL bulan Oktober - Januari</t>
  </si>
  <si>
    <t>Total Biaya Toko</t>
  </si>
  <si>
    <t>Biaya Bahan Baku</t>
  </si>
  <si>
    <t>Fresh Rose I florist</t>
  </si>
  <si>
    <t>Fresh Baby Breath Bloomx</t>
  </si>
  <si>
    <t>akrilik besar 12 pcs</t>
  </si>
  <si>
    <t>Fresh Rose &amp; Baby Breath</t>
  </si>
  <si>
    <t>Rose preserved gracella</t>
  </si>
  <si>
    <t>Papan Bunga</t>
  </si>
  <si>
    <t>Fresh Rose &amp; Baby Breath Bloomx</t>
  </si>
  <si>
    <t>Barang Parcel</t>
  </si>
  <si>
    <t>Total Biaya Baha Baku</t>
  </si>
  <si>
    <t>Tota Biaya</t>
  </si>
  <si>
    <t>Grand Total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</si>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</sst>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IDR&quot;* #,##0_);_(&quot;IDR&quot;* \(#,##0\);_(&quot;IDR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 [$¥-804]* #,##0.00_ ;_ [$¥-804]* \-#,##0.00_ ;_ [$¥-804]* &quot;-&quot;??_ ;_ @_ "/>
    <numFmt numFmtId="166" formatCode="_-[$IDR-3809]* #,##0.00_-;\-[$IDR-3809]* #,##0.00_-;_-[$IDR-3809]* &quot;-&quot;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rgb="FF212529"/>
      <name val="Times New Roman"/>
      <family val="1"/>
    </font>
    <font>
      <sz val="18"/>
      <color theme="1"/>
      <name val="Times New Roman"/>
      <family val="1"/>
    </font>
    <font>
      <sz val="14"/>
      <color rgb="FF000000"/>
      <name val="Times New Roman"/>
      <family val="1"/>
    </font>
    <font>
      <sz val="18"/>
      <color rgb="FF212529"/>
      <name val="Times New Roman"/>
      <family val="1"/>
    </font>
    <font>
      <sz val="16"/>
      <color rgb="FF000000"/>
      <name val="Times New Roman"/>
      <family val="1"/>
    </font>
    <font>
      <sz val="16"/>
      <color rgb="FF000000"/>
      <name val="Helvetica Neue"/>
      <family val="2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center"/>
    </xf>
    <xf numFmtId="41" fontId="3" fillId="0" borderId="0" xfId="2" applyFont="1"/>
    <xf numFmtId="0" fontId="3" fillId="0" borderId="0" xfId="0" applyFont="1"/>
    <xf numFmtId="41" fontId="3" fillId="0" borderId="0" xfId="0" applyNumberFormat="1" applyFont="1"/>
    <xf numFmtId="0" fontId="3" fillId="0" borderId="0" xfId="0" applyFont="1" applyAlignment="1">
      <alignment horizontal="center"/>
    </xf>
    <xf numFmtId="41" fontId="3" fillId="2" borderId="0" xfId="0" applyNumberFormat="1" applyFont="1" applyFill="1"/>
    <xf numFmtId="0" fontId="2" fillId="0" borderId="1" xfId="0" applyFont="1" applyBorder="1" applyAlignment="1">
      <alignment horizontal="center"/>
    </xf>
    <xf numFmtId="41" fontId="2" fillId="0" borderId="1" xfId="2" applyFont="1" applyBorder="1" applyAlignment="1">
      <alignment horizontal="center"/>
    </xf>
    <xf numFmtId="41" fontId="2" fillId="0" borderId="0" xfId="2" applyFont="1" applyAlignment="1">
      <alignment horizontal="center"/>
    </xf>
    <xf numFmtId="16" fontId="3" fillId="0" borderId="0" xfId="0" applyNumberFormat="1" applyFont="1" applyAlignment="1">
      <alignment horizontal="center"/>
    </xf>
    <xf numFmtId="41" fontId="3" fillId="0" borderId="0" xfId="2" applyFont="1" applyFill="1"/>
    <xf numFmtId="41" fontId="3" fillId="0" borderId="0" xfId="0" applyNumberFormat="1" applyFont="1" applyAlignment="1">
      <alignment horizontal="center" vertical="center"/>
    </xf>
    <xf numFmtId="0" fontId="3" fillId="3" borderId="0" xfId="0" applyFont="1" applyFill="1"/>
    <xf numFmtId="41" fontId="3" fillId="3" borderId="0" xfId="2" applyFont="1" applyFill="1"/>
    <xf numFmtId="41" fontId="4" fillId="0" borderId="0" xfId="2" applyFont="1"/>
    <xf numFmtId="0" fontId="3" fillId="4" borderId="0" xfId="0" applyFont="1" applyFill="1" applyAlignment="1">
      <alignment horizontal="left"/>
    </xf>
    <xf numFmtId="41" fontId="3" fillId="4" borderId="0" xfId="2" applyFont="1" applyFill="1"/>
    <xf numFmtId="164" fontId="3" fillId="0" borderId="0" xfId="1" applyNumberFormat="1" applyFont="1" applyAlignment="1"/>
    <xf numFmtId="164" fontId="3" fillId="2" borderId="0" xfId="1" applyNumberFormat="1" applyFont="1" applyFill="1" applyBorder="1" applyAlignment="1"/>
    <xf numFmtId="41" fontId="3" fillId="4" borderId="2" xfId="2" applyFont="1" applyFill="1" applyBorder="1"/>
    <xf numFmtId="0" fontId="2" fillId="0" borderId="3" xfId="0" applyFont="1" applyBorder="1" applyAlignment="1">
      <alignment horizontal="right"/>
    </xf>
    <xf numFmtId="41" fontId="2" fillId="0" borderId="3" xfId="2" applyFont="1" applyBorder="1"/>
    <xf numFmtId="41" fontId="2" fillId="4" borderId="0" xfId="2" applyFont="1" applyFill="1" applyAlignment="1">
      <alignment horizontal="right"/>
    </xf>
    <xf numFmtId="41" fontId="2" fillId="4" borderId="0" xfId="2" applyFont="1" applyFill="1"/>
    <xf numFmtId="0" fontId="2" fillId="0" borderId="0" xfId="0" applyFont="1" applyAlignment="1">
      <alignment horizontal="right"/>
    </xf>
    <xf numFmtId="41" fontId="2" fillId="0" borderId="0" xfId="2" applyFont="1" applyBorder="1"/>
    <xf numFmtId="0" fontId="3" fillId="0" borderId="0" xfId="0" applyFont="1" applyAlignment="1">
      <alignment horizontal="left"/>
    </xf>
    <xf numFmtId="41" fontId="3" fillId="2" borderId="0" xfId="2" applyFont="1" applyFill="1"/>
    <xf numFmtId="41" fontId="2" fillId="0" borderId="0" xfId="2" applyFont="1"/>
    <xf numFmtId="41" fontId="2" fillId="0" borderId="1" xfId="2" applyFont="1" applyBorder="1"/>
    <xf numFmtId="42" fontId="5" fillId="5" borderId="4" xfId="3" applyFont="1" applyFill="1" applyBorder="1" applyAlignment="1">
      <alignment horizontal="center" vertical="center"/>
    </xf>
    <xf numFmtId="42" fontId="8" fillId="5" borderId="4" xfId="3" applyFont="1" applyFill="1" applyBorder="1" applyAlignment="1">
      <alignment horizontal="center" vertical="center"/>
    </xf>
    <xf numFmtId="42" fontId="3" fillId="2" borderId="0" xfId="3" applyFont="1" applyFill="1" applyBorder="1" applyAlignment="1"/>
    <xf numFmtId="42" fontId="3" fillId="0" borderId="0" xfId="3" applyFont="1"/>
    <xf numFmtId="42" fontId="3" fillId="3" borderId="0" xfId="3" applyFont="1" applyFill="1"/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42" fontId="9" fillId="0" borderId="6" xfId="3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6" fillId="0" borderId="4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6" fillId="0" borderId="7" xfId="3" applyNumberFormat="1" applyFont="1" applyFill="1" applyBorder="1" applyAlignment="1">
      <alignment horizontal="center" vertical="center"/>
    </xf>
    <xf numFmtId="42" fontId="6" fillId="0" borderId="0" xfId="3" applyFont="1" applyFill="1" applyBorder="1" applyAlignment="1">
      <alignment horizontal="center" vertical="center"/>
    </xf>
    <xf numFmtId="42" fontId="6" fillId="0" borderId="7" xfId="3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3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42" fontId="6" fillId="0" borderId="0" xfId="3" applyFont="1" applyBorder="1" applyAlignment="1">
      <alignment horizontal="center" vertical="center"/>
    </xf>
    <xf numFmtId="0" fontId="15" fillId="0" borderId="0" xfId="0" applyFont="1"/>
    <xf numFmtId="0" fontId="5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42" fontId="6" fillId="6" borderId="4" xfId="3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wrapText="1"/>
    </xf>
    <xf numFmtId="0" fontId="5" fillId="0" borderId="11" xfId="0" applyFont="1" applyBorder="1" applyAlignment="1">
      <alignment horizontal="center" vertical="center" wrapText="1"/>
    </xf>
    <xf numFmtId="1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6" fillId="0" borderId="0" xfId="0" applyNumberFormat="1" applyFont="1"/>
    <xf numFmtId="42" fontId="6" fillId="0" borderId="0" xfId="3" applyFont="1" applyBorder="1"/>
    <xf numFmtId="49" fontId="6" fillId="0" borderId="0" xfId="0" applyNumberFormat="1" applyFont="1" applyAlignment="1">
      <alignment horizontal="center"/>
    </xf>
    <xf numFmtId="42" fontId="6" fillId="0" borderId="12" xfId="3" applyFont="1" applyBorder="1" applyAlignment="1">
      <alignment horizontal="center" vertical="center"/>
    </xf>
    <xf numFmtId="42" fontId="6" fillId="5" borderId="11" xfId="3" applyFont="1" applyFill="1" applyBorder="1"/>
    <xf numFmtId="0" fontId="6" fillId="0" borderId="13" xfId="0" applyFont="1" applyBorder="1" applyAlignment="1">
      <alignment horizontal="center" vertical="center"/>
    </xf>
    <xf numFmtId="165" fontId="7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5" fillId="6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165" fontId="6" fillId="6" borderId="0" xfId="0" applyNumberFormat="1" applyFont="1" applyFill="1"/>
    <xf numFmtId="0" fontId="6" fillId="6" borderId="0" xfId="0" applyFont="1" applyFill="1"/>
    <xf numFmtId="49" fontId="6" fillId="6" borderId="0" xfId="0" applyNumberFormat="1" applyFont="1" applyFill="1" applyAlignment="1">
      <alignment horizontal="center"/>
    </xf>
    <xf numFmtId="42" fontId="5" fillId="6" borderId="0" xfId="0" applyNumberFormat="1" applyFont="1" applyFill="1"/>
    <xf numFmtId="14" fontId="16" fillId="0" borderId="0" xfId="0" applyNumberFormat="1" applyFont="1" applyAlignment="1">
      <alignment horizontal="center"/>
    </xf>
    <xf numFmtId="42" fontId="11" fillId="0" borderId="0" xfId="3" applyFont="1"/>
    <xf numFmtId="0" fontId="5" fillId="2" borderId="4" xfId="0" applyFont="1" applyFill="1" applyBorder="1"/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/>
    <xf numFmtId="0" fontId="6" fillId="2" borderId="0" xfId="0" applyFont="1" applyFill="1"/>
    <xf numFmtId="49" fontId="6" fillId="2" borderId="0" xfId="0" applyNumberFormat="1" applyFont="1" applyFill="1" applyAlignment="1">
      <alignment horizontal="center"/>
    </xf>
    <xf numFmtId="14" fontId="16" fillId="2" borderId="0" xfId="0" applyNumberFormat="1" applyFont="1" applyFill="1" applyAlignment="1">
      <alignment horizontal="center"/>
    </xf>
    <xf numFmtId="42" fontId="17" fillId="2" borderId="0" xfId="3" applyFont="1" applyFill="1"/>
    <xf numFmtId="0" fontId="5" fillId="0" borderId="0" xfId="0" applyFont="1"/>
    <xf numFmtId="42" fontId="17" fillId="0" borderId="0" xfId="3" applyFont="1" applyFill="1"/>
    <xf numFmtId="0" fontId="16" fillId="0" borderId="0" xfId="0" applyFont="1" applyAlignment="1">
      <alignment horizontal="center" vertical="center"/>
    </xf>
    <xf numFmtId="42" fontId="6" fillId="0" borderId="0" xfId="3" applyFont="1"/>
    <xf numFmtId="0" fontId="16" fillId="0" borderId="0" xfId="0" applyFont="1" applyAlignment="1">
      <alignment horizontal="center"/>
    </xf>
    <xf numFmtId="42" fontId="7" fillId="0" borderId="0" xfId="3" applyFont="1"/>
    <xf numFmtId="42" fontId="18" fillId="2" borderId="0" xfId="3" applyFont="1" applyFill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42" fontId="5" fillId="5" borderId="4" xfId="3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</cellXfs>
  <cellStyles count="4">
    <cellStyle name="Comma" xfId="1" builtinId="3"/>
    <cellStyle name="Comma [0]" xfId="2" builtinId="6"/>
    <cellStyle name="Currency [0]" xfId="3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5228-70EE-3747-A068-575A1A55876E}">
  <dimension ref="A1:L277"/>
  <sheetViews>
    <sheetView topLeftCell="A248" zoomScale="125" workbookViewId="0">
      <selection activeCell="H262" sqref="H262"/>
    </sheetView>
  </sheetViews>
  <sheetFormatPr baseColWidth="10" defaultRowHeight="16" x14ac:dyDescent="0.2"/>
  <cols>
    <col min="1" max="1" width="5.6640625" style="5" customWidth="1"/>
    <col min="2" max="2" width="6.6640625" style="5" customWidth="1"/>
    <col min="3" max="3" width="16.83203125" style="3" customWidth="1"/>
    <col min="4" max="4" width="15.1640625" style="2" customWidth="1"/>
    <col min="5" max="5" width="10.83203125" style="2"/>
    <col min="6" max="6" width="8.1640625" style="2" customWidth="1"/>
    <col min="7" max="7" width="12" style="2" customWidth="1"/>
    <col min="8" max="8" width="10" style="2" bestFit="1" customWidth="1"/>
    <col min="9" max="12" width="10.83203125" style="3"/>
  </cols>
  <sheetData>
    <row r="1" spans="1:12" x14ac:dyDescent="0.2">
      <c r="A1" s="113" t="s">
        <v>0</v>
      </c>
      <c r="B1" s="113"/>
      <c r="C1" s="113"/>
      <c r="D1" s="113"/>
      <c r="E1" s="113"/>
      <c r="F1" s="113"/>
      <c r="G1" s="113"/>
    </row>
    <row r="2" spans="1:12" x14ac:dyDescent="0.2">
      <c r="A2" s="113" t="s">
        <v>1</v>
      </c>
      <c r="B2" s="113"/>
      <c r="C2" s="113"/>
      <c r="D2" s="113"/>
      <c r="E2" s="113"/>
      <c r="F2" s="113"/>
      <c r="G2" s="113"/>
    </row>
    <row r="3" spans="1:12" x14ac:dyDescent="0.2">
      <c r="A3" s="1"/>
      <c r="B3" s="1"/>
      <c r="C3" s="1"/>
      <c r="D3" s="1"/>
      <c r="E3" s="1"/>
      <c r="F3" s="1"/>
      <c r="G3" s="1"/>
      <c r="I3" s="4"/>
    </row>
    <row r="4" spans="1:12" x14ac:dyDescent="0.2">
      <c r="D4" s="2">
        <f>SUM(D6:D180)</f>
        <v>14690000</v>
      </c>
      <c r="E4" s="2">
        <f>SUM(E6:E247)</f>
        <v>65673000</v>
      </c>
      <c r="F4" s="2">
        <f>SUM(F6:F180)</f>
        <v>0</v>
      </c>
      <c r="G4" s="2">
        <f>SUM(G6:G180)</f>
        <v>60290000</v>
      </c>
      <c r="I4" s="4"/>
      <c r="J4" s="4"/>
      <c r="K4" s="6"/>
    </row>
    <row r="5" spans="1:12" ht="17" thickBot="1" x14ac:dyDescent="0.25">
      <c r="A5" s="7" t="s">
        <v>2</v>
      </c>
      <c r="B5" s="7" t="s">
        <v>3</v>
      </c>
      <c r="C5" s="7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9"/>
      <c r="I5" s="1"/>
      <c r="J5" s="1"/>
      <c r="K5" s="1"/>
      <c r="L5" s="1"/>
    </row>
    <row r="6" spans="1:12" ht="17" thickTop="1" x14ac:dyDescent="0.2">
      <c r="A6" s="5">
        <v>1</v>
      </c>
      <c r="B6" s="10">
        <v>46357</v>
      </c>
      <c r="C6" s="3" t="s">
        <v>9</v>
      </c>
      <c r="D6" s="11"/>
      <c r="E6" s="11">
        <v>160000</v>
      </c>
      <c r="F6" s="11"/>
      <c r="G6" s="11">
        <f>D6+E6+F6</f>
        <v>160000</v>
      </c>
      <c r="H6" s="11"/>
      <c r="I6" s="4"/>
      <c r="J6" s="4"/>
    </row>
    <row r="7" spans="1:12" x14ac:dyDescent="0.2">
      <c r="A7" s="12">
        <f>A6+1</f>
        <v>2</v>
      </c>
      <c r="B7" s="10">
        <v>46357</v>
      </c>
      <c r="C7" s="3" t="s">
        <v>10</v>
      </c>
      <c r="D7" s="11"/>
      <c r="E7" s="11">
        <v>280000</v>
      </c>
      <c r="F7" s="11"/>
      <c r="G7" s="11">
        <f t="shared" ref="G7:G80" si="0">D7+E7+F7</f>
        <v>280000</v>
      </c>
      <c r="H7" s="11"/>
      <c r="I7" s="4"/>
      <c r="J7" s="4"/>
    </row>
    <row r="8" spans="1:12" x14ac:dyDescent="0.2">
      <c r="A8" s="12">
        <f t="shared" ref="A8:A71" si="1">A7+1</f>
        <v>3</v>
      </c>
      <c r="B8" s="10"/>
      <c r="C8" s="3" t="s">
        <v>11</v>
      </c>
      <c r="D8" s="11"/>
      <c r="E8" s="11">
        <v>320000</v>
      </c>
      <c r="F8" s="11"/>
      <c r="G8" s="11">
        <f t="shared" si="0"/>
        <v>320000</v>
      </c>
      <c r="H8" s="11"/>
      <c r="I8" s="4"/>
      <c r="J8" s="4"/>
    </row>
    <row r="9" spans="1:12" x14ac:dyDescent="0.2">
      <c r="A9" s="12">
        <f t="shared" si="1"/>
        <v>4</v>
      </c>
      <c r="B9" s="10"/>
      <c r="C9" s="3" t="s">
        <v>11</v>
      </c>
      <c r="D9" s="11"/>
      <c r="E9" s="11">
        <v>280000</v>
      </c>
      <c r="F9" s="11"/>
      <c r="G9" s="11">
        <f t="shared" si="0"/>
        <v>280000</v>
      </c>
      <c r="H9" s="11"/>
    </row>
    <row r="10" spans="1:12" x14ac:dyDescent="0.2">
      <c r="A10" s="12">
        <f t="shared" si="1"/>
        <v>5</v>
      </c>
      <c r="B10" s="10"/>
      <c r="C10" s="3" t="s">
        <v>12</v>
      </c>
      <c r="D10" s="11"/>
      <c r="E10" s="11">
        <v>50000</v>
      </c>
      <c r="F10" s="11"/>
      <c r="G10" s="11">
        <f t="shared" si="0"/>
        <v>50000</v>
      </c>
      <c r="H10" s="11"/>
    </row>
    <row r="11" spans="1:12" x14ac:dyDescent="0.2">
      <c r="A11" s="12">
        <f t="shared" si="1"/>
        <v>6</v>
      </c>
      <c r="B11" s="10"/>
      <c r="C11" s="3" t="s">
        <v>13</v>
      </c>
      <c r="D11" s="11">
        <v>500000</v>
      </c>
      <c r="E11" s="11">
        <f>160000+195000</f>
        <v>355000</v>
      </c>
      <c r="F11" s="11"/>
      <c r="G11" s="11">
        <f t="shared" si="0"/>
        <v>855000</v>
      </c>
      <c r="H11" s="11"/>
    </row>
    <row r="12" spans="1:12" x14ac:dyDescent="0.2">
      <c r="A12" s="12">
        <f t="shared" si="1"/>
        <v>7</v>
      </c>
      <c r="B12" s="10"/>
      <c r="C12" s="3" t="s">
        <v>10</v>
      </c>
      <c r="D12" s="11"/>
      <c r="E12" s="11">
        <v>320000</v>
      </c>
      <c r="F12" s="11"/>
      <c r="G12" s="11">
        <f t="shared" si="0"/>
        <v>320000</v>
      </c>
      <c r="H12" s="11"/>
    </row>
    <row r="13" spans="1:12" x14ac:dyDescent="0.2">
      <c r="A13" s="12">
        <f t="shared" si="1"/>
        <v>8</v>
      </c>
      <c r="B13" s="10"/>
      <c r="C13" s="3" t="s">
        <v>9</v>
      </c>
      <c r="D13" s="11"/>
      <c r="E13" s="11">
        <v>220000</v>
      </c>
      <c r="F13" s="11"/>
      <c r="G13" s="11">
        <f t="shared" si="0"/>
        <v>220000</v>
      </c>
      <c r="H13" s="11"/>
    </row>
    <row r="14" spans="1:12" x14ac:dyDescent="0.2">
      <c r="A14" s="12">
        <f t="shared" si="1"/>
        <v>9</v>
      </c>
      <c r="B14" s="10"/>
      <c r="C14" s="3" t="s">
        <v>11</v>
      </c>
      <c r="D14" s="11"/>
      <c r="E14" s="11">
        <v>300000</v>
      </c>
      <c r="F14" s="11"/>
      <c r="G14" s="11">
        <f t="shared" si="0"/>
        <v>300000</v>
      </c>
      <c r="H14" s="11"/>
    </row>
    <row r="15" spans="1:12" x14ac:dyDescent="0.2">
      <c r="A15" s="12">
        <f t="shared" si="1"/>
        <v>10</v>
      </c>
      <c r="B15" s="10"/>
      <c r="C15" s="3" t="s">
        <v>11</v>
      </c>
      <c r="D15" s="11"/>
      <c r="E15" s="11">
        <v>400000</v>
      </c>
      <c r="F15" s="11"/>
      <c r="G15" s="11">
        <f t="shared" si="0"/>
        <v>400000</v>
      </c>
      <c r="H15" s="11"/>
    </row>
    <row r="16" spans="1:12" x14ac:dyDescent="0.2">
      <c r="A16" s="12">
        <f t="shared" si="1"/>
        <v>11</v>
      </c>
      <c r="B16" s="10"/>
      <c r="C16" s="3" t="s">
        <v>9</v>
      </c>
      <c r="D16" s="11"/>
      <c r="E16" s="11">
        <v>120000</v>
      </c>
      <c r="F16" s="11"/>
      <c r="G16" s="11">
        <f t="shared" si="0"/>
        <v>120000</v>
      </c>
      <c r="H16" s="11"/>
    </row>
    <row r="17" spans="1:12" x14ac:dyDescent="0.2">
      <c r="A17" s="12">
        <f t="shared" si="1"/>
        <v>12</v>
      </c>
      <c r="B17" s="10"/>
      <c r="C17" s="3" t="s">
        <v>11</v>
      </c>
      <c r="D17" s="11"/>
      <c r="E17" s="11">
        <v>300000</v>
      </c>
      <c r="F17" s="11"/>
      <c r="G17" s="11">
        <f t="shared" si="0"/>
        <v>300000</v>
      </c>
      <c r="H17" s="11"/>
    </row>
    <row r="18" spans="1:12" x14ac:dyDescent="0.2">
      <c r="A18" s="12">
        <f t="shared" si="1"/>
        <v>13</v>
      </c>
      <c r="B18" s="10"/>
      <c r="C18" s="3" t="s">
        <v>9</v>
      </c>
      <c r="D18" s="11"/>
      <c r="E18" s="11">
        <v>420000</v>
      </c>
      <c r="F18" s="11"/>
      <c r="G18" s="11">
        <f t="shared" si="0"/>
        <v>420000</v>
      </c>
      <c r="H18" s="11"/>
    </row>
    <row r="19" spans="1:12" x14ac:dyDescent="0.2">
      <c r="A19" s="12">
        <f t="shared" si="1"/>
        <v>14</v>
      </c>
      <c r="B19" s="10"/>
      <c r="C19" s="3" t="s">
        <v>13</v>
      </c>
      <c r="D19" s="11"/>
      <c r="E19" s="11">
        <v>220000</v>
      </c>
      <c r="F19" s="11"/>
      <c r="G19" s="11">
        <f t="shared" si="0"/>
        <v>220000</v>
      </c>
      <c r="H19" s="11"/>
    </row>
    <row r="20" spans="1:12" x14ac:dyDescent="0.2">
      <c r="A20" s="12">
        <f t="shared" si="1"/>
        <v>15</v>
      </c>
      <c r="B20" s="10"/>
      <c r="C20" s="3" t="s">
        <v>14</v>
      </c>
      <c r="E20" s="11">
        <v>530000</v>
      </c>
      <c r="F20" s="11"/>
      <c r="G20" s="11">
        <f t="shared" si="0"/>
        <v>530000</v>
      </c>
    </row>
    <row r="21" spans="1:12" x14ac:dyDescent="0.2">
      <c r="A21" s="12">
        <f t="shared" si="1"/>
        <v>16</v>
      </c>
      <c r="B21" s="10"/>
      <c r="C21" s="13" t="s">
        <v>15</v>
      </c>
      <c r="D21" s="14"/>
      <c r="E21" s="14">
        <v>360000</v>
      </c>
      <c r="F21" s="14"/>
      <c r="G21" s="14">
        <f t="shared" si="0"/>
        <v>360000</v>
      </c>
      <c r="H21" s="14"/>
      <c r="I21" s="13"/>
      <c r="J21" s="13"/>
      <c r="K21" s="13"/>
      <c r="L21" s="13"/>
    </row>
    <row r="22" spans="1:12" x14ac:dyDescent="0.2">
      <c r="A22" s="12">
        <f t="shared" si="1"/>
        <v>17</v>
      </c>
      <c r="B22" s="10"/>
      <c r="C22" s="3" t="s">
        <v>11</v>
      </c>
      <c r="E22" s="11">
        <v>480000</v>
      </c>
      <c r="F22" s="11"/>
      <c r="G22" s="11">
        <f t="shared" si="0"/>
        <v>480000</v>
      </c>
    </row>
    <row r="23" spans="1:12" x14ac:dyDescent="0.2">
      <c r="A23" s="12">
        <f t="shared" si="1"/>
        <v>18</v>
      </c>
      <c r="B23" s="10"/>
      <c r="C23" s="3" t="s">
        <v>9</v>
      </c>
      <c r="E23" s="11">
        <v>195000</v>
      </c>
      <c r="F23" s="11"/>
      <c r="G23" s="11">
        <f t="shared" si="0"/>
        <v>195000</v>
      </c>
    </row>
    <row r="24" spans="1:12" x14ac:dyDescent="0.2">
      <c r="A24" s="12">
        <f t="shared" si="1"/>
        <v>19</v>
      </c>
      <c r="B24" s="10"/>
      <c r="C24" s="3" t="s">
        <v>9</v>
      </c>
      <c r="E24" s="11">
        <v>360000</v>
      </c>
      <c r="F24" s="11"/>
      <c r="G24" s="11">
        <f t="shared" si="0"/>
        <v>360000</v>
      </c>
    </row>
    <row r="25" spans="1:12" x14ac:dyDescent="0.2">
      <c r="A25" s="12">
        <f t="shared" si="1"/>
        <v>20</v>
      </c>
      <c r="B25" s="10"/>
      <c r="C25" s="3" t="s">
        <v>12</v>
      </c>
      <c r="E25" s="11">
        <v>50000</v>
      </c>
      <c r="F25" s="11"/>
      <c r="G25" s="11">
        <f t="shared" si="0"/>
        <v>50000</v>
      </c>
    </row>
    <row r="26" spans="1:12" x14ac:dyDescent="0.2">
      <c r="A26" s="12">
        <f t="shared" si="1"/>
        <v>21</v>
      </c>
      <c r="B26" s="10"/>
      <c r="C26" s="3" t="s">
        <v>10</v>
      </c>
      <c r="E26" s="11">
        <v>200000</v>
      </c>
      <c r="F26" s="11"/>
      <c r="G26" s="11">
        <f t="shared" si="0"/>
        <v>200000</v>
      </c>
    </row>
    <row r="27" spans="1:12" x14ac:dyDescent="0.2">
      <c r="A27" s="12">
        <f t="shared" si="1"/>
        <v>22</v>
      </c>
      <c r="B27" s="10"/>
      <c r="C27" s="3" t="s">
        <v>9</v>
      </c>
      <c r="E27" s="11">
        <v>195000</v>
      </c>
      <c r="F27" s="11"/>
      <c r="G27" s="11">
        <f t="shared" si="0"/>
        <v>195000</v>
      </c>
    </row>
    <row r="28" spans="1:12" x14ac:dyDescent="0.2">
      <c r="A28" s="12">
        <f t="shared" si="1"/>
        <v>23</v>
      </c>
      <c r="B28" s="10"/>
      <c r="C28" s="3" t="s">
        <v>10</v>
      </c>
      <c r="E28" s="11">
        <v>300000</v>
      </c>
      <c r="F28" s="11"/>
      <c r="G28" s="11">
        <f t="shared" si="0"/>
        <v>300000</v>
      </c>
    </row>
    <row r="29" spans="1:12" x14ac:dyDescent="0.2">
      <c r="A29" s="12">
        <f t="shared" si="1"/>
        <v>24</v>
      </c>
      <c r="B29" s="10"/>
      <c r="C29" s="3" t="s">
        <v>16</v>
      </c>
      <c r="E29" s="11">
        <v>400000</v>
      </c>
      <c r="F29" s="11"/>
      <c r="G29" s="11">
        <f t="shared" si="0"/>
        <v>400000</v>
      </c>
    </row>
    <row r="30" spans="1:12" x14ac:dyDescent="0.2">
      <c r="A30" s="12">
        <f t="shared" si="1"/>
        <v>25</v>
      </c>
      <c r="B30" s="10"/>
      <c r="C30" s="3" t="s">
        <v>10</v>
      </c>
      <c r="E30" s="11">
        <v>280000</v>
      </c>
      <c r="F30" s="11"/>
      <c r="G30" s="11">
        <f t="shared" si="0"/>
        <v>280000</v>
      </c>
    </row>
    <row r="31" spans="1:12" x14ac:dyDescent="0.2">
      <c r="A31" s="12">
        <f t="shared" si="1"/>
        <v>26</v>
      </c>
      <c r="B31" s="10"/>
      <c r="C31" s="3" t="s">
        <v>13</v>
      </c>
      <c r="D31" s="2">
        <v>100000</v>
      </c>
      <c r="E31" s="11">
        <v>150000</v>
      </c>
      <c r="F31" s="11"/>
      <c r="G31" s="11">
        <f t="shared" si="0"/>
        <v>250000</v>
      </c>
    </row>
    <row r="32" spans="1:12" x14ac:dyDescent="0.2">
      <c r="A32" s="12">
        <f t="shared" si="1"/>
        <v>27</v>
      </c>
      <c r="B32" s="10"/>
      <c r="C32" s="3" t="s">
        <v>10</v>
      </c>
      <c r="E32" s="11">
        <v>280000</v>
      </c>
      <c r="F32" s="11"/>
      <c r="G32" s="11">
        <f t="shared" si="0"/>
        <v>280000</v>
      </c>
    </row>
    <row r="33" spans="1:12" x14ac:dyDescent="0.2">
      <c r="A33" s="12">
        <f t="shared" si="1"/>
        <v>28</v>
      </c>
      <c r="B33" s="10"/>
      <c r="C33" s="3" t="s">
        <v>11</v>
      </c>
      <c r="E33" s="11">
        <v>870000</v>
      </c>
      <c r="F33" s="11"/>
      <c r="G33" s="11">
        <f t="shared" si="0"/>
        <v>870000</v>
      </c>
      <c r="I33" s="2"/>
      <c r="J33" s="2"/>
      <c r="K33" s="2"/>
      <c r="L33" s="2"/>
    </row>
    <row r="34" spans="1:12" x14ac:dyDescent="0.2">
      <c r="A34" s="12">
        <f t="shared" si="1"/>
        <v>29</v>
      </c>
      <c r="B34" s="10"/>
      <c r="C34" s="3" t="s">
        <v>11</v>
      </c>
      <c r="E34" s="11">
        <v>350000</v>
      </c>
      <c r="F34" s="11"/>
      <c r="G34" s="11">
        <f t="shared" si="0"/>
        <v>350000</v>
      </c>
      <c r="I34" s="2"/>
      <c r="J34" s="2"/>
      <c r="K34" s="2"/>
      <c r="L34" s="2"/>
    </row>
    <row r="35" spans="1:12" x14ac:dyDescent="0.2">
      <c r="A35" s="12">
        <f t="shared" si="1"/>
        <v>30</v>
      </c>
      <c r="B35" s="10"/>
      <c r="C35" s="3" t="s">
        <v>16</v>
      </c>
      <c r="E35" s="11">
        <v>400000</v>
      </c>
      <c r="F35" s="11"/>
      <c r="G35" s="11">
        <f t="shared" si="0"/>
        <v>400000</v>
      </c>
      <c r="I35" s="2"/>
      <c r="J35" s="2"/>
      <c r="K35" s="2"/>
      <c r="L35" s="2"/>
    </row>
    <row r="36" spans="1:12" x14ac:dyDescent="0.2">
      <c r="A36" s="12">
        <f t="shared" si="1"/>
        <v>31</v>
      </c>
      <c r="B36" s="10"/>
      <c r="C36" s="3" t="s">
        <v>9</v>
      </c>
      <c r="E36" s="2">
        <v>195000</v>
      </c>
      <c r="F36" s="11"/>
      <c r="G36" s="11">
        <f t="shared" si="0"/>
        <v>195000</v>
      </c>
      <c r="I36" s="2"/>
      <c r="J36" s="2"/>
      <c r="K36" s="2"/>
      <c r="L36" s="2"/>
    </row>
    <row r="37" spans="1:12" x14ac:dyDescent="0.2">
      <c r="A37" s="12">
        <f t="shared" si="1"/>
        <v>32</v>
      </c>
      <c r="B37" s="10"/>
      <c r="C37" s="3" t="s">
        <v>11</v>
      </c>
      <c r="E37" s="2">
        <v>300000</v>
      </c>
      <c r="F37" s="11"/>
      <c r="G37" s="11">
        <f t="shared" si="0"/>
        <v>300000</v>
      </c>
      <c r="I37" s="2"/>
      <c r="J37" s="2"/>
      <c r="K37" s="2"/>
      <c r="L37" s="2"/>
    </row>
    <row r="38" spans="1:12" x14ac:dyDescent="0.2">
      <c r="A38" s="12">
        <f t="shared" si="1"/>
        <v>33</v>
      </c>
      <c r="B38" s="10"/>
      <c r="C38" s="3" t="s">
        <v>14</v>
      </c>
      <c r="E38" s="2">
        <v>315000</v>
      </c>
      <c r="F38" s="11"/>
      <c r="G38" s="11">
        <f t="shared" si="0"/>
        <v>315000</v>
      </c>
      <c r="I38" s="2"/>
      <c r="J38" s="2"/>
      <c r="K38" s="2"/>
      <c r="L38" s="2"/>
    </row>
    <row r="39" spans="1:12" x14ac:dyDescent="0.2">
      <c r="A39" s="12">
        <f t="shared" si="1"/>
        <v>34</v>
      </c>
      <c r="B39" s="10"/>
      <c r="C39" s="3" t="s">
        <v>9</v>
      </c>
      <c r="E39" s="2">
        <v>380000</v>
      </c>
      <c r="F39" s="11"/>
      <c r="G39" s="11">
        <f t="shared" si="0"/>
        <v>380000</v>
      </c>
      <c r="I39" s="2"/>
      <c r="J39" s="2"/>
      <c r="K39" s="2"/>
      <c r="L39" s="2"/>
    </row>
    <row r="40" spans="1:12" x14ac:dyDescent="0.2">
      <c r="A40" s="12">
        <f t="shared" si="1"/>
        <v>35</v>
      </c>
      <c r="B40" s="10"/>
      <c r="C40" s="3" t="s">
        <v>11</v>
      </c>
      <c r="E40" s="2">
        <v>780000</v>
      </c>
      <c r="F40" s="11"/>
      <c r="G40" s="11">
        <f t="shared" si="0"/>
        <v>780000</v>
      </c>
      <c r="I40" s="2"/>
      <c r="J40" s="2"/>
      <c r="K40" s="2"/>
      <c r="L40" s="2"/>
    </row>
    <row r="41" spans="1:12" x14ac:dyDescent="0.2">
      <c r="A41" s="12">
        <f t="shared" si="1"/>
        <v>36</v>
      </c>
      <c r="B41" s="10"/>
      <c r="C41" s="3" t="s">
        <v>9</v>
      </c>
      <c r="E41" s="2">
        <f>160000+120000</f>
        <v>280000</v>
      </c>
      <c r="F41" s="11"/>
      <c r="G41" s="11">
        <f t="shared" si="0"/>
        <v>280000</v>
      </c>
      <c r="I41" s="2"/>
      <c r="J41" s="2"/>
      <c r="K41" s="2"/>
      <c r="L41" s="2"/>
    </row>
    <row r="42" spans="1:12" x14ac:dyDescent="0.2">
      <c r="A42" s="12">
        <f t="shared" si="1"/>
        <v>37</v>
      </c>
      <c r="B42" s="10"/>
      <c r="C42" s="3" t="s">
        <v>9</v>
      </c>
      <c r="E42" s="2">
        <v>200000</v>
      </c>
      <c r="F42" s="11"/>
      <c r="G42" s="11">
        <f t="shared" si="0"/>
        <v>200000</v>
      </c>
      <c r="I42" s="2"/>
      <c r="J42" s="2"/>
      <c r="K42" s="2"/>
      <c r="L42" s="2"/>
    </row>
    <row r="43" spans="1:12" x14ac:dyDescent="0.2">
      <c r="A43" s="12">
        <f t="shared" si="1"/>
        <v>38</v>
      </c>
      <c r="B43" s="10"/>
      <c r="C43" s="3" t="s">
        <v>9</v>
      </c>
      <c r="E43" s="2">
        <v>200000</v>
      </c>
      <c r="F43" s="11"/>
      <c r="G43" s="11">
        <f t="shared" si="0"/>
        <v>200000</v>
      </c>
      <c r="I43" s="2"/>
      <c r="J43" s="2"/>
      <c r="K43" s="2"/>
      <c r="L43" s="2"/>
    </row>
    <row r="44" spans="1:12" x14ac:dyDescent="0.2">
      <c r="A44" s="12">
        <f t="shared" si="1"/>
        <v>39</v>
      </c>
      <c r="B44" s="10"/>
      <c r="C44" s="3" t="s">
        <v>12</v>
      </c>
      <c r="E44" s="2">
        <v>50000</v>
      </c>
      <c r="F44" s="11"/>
      <c r="G44" s="11">
        <f t="shared" si="0"/>
        <v>50000</v>
      </c>
      <c r="I44" s="2"/>
      <c r="J44" s="2"/>
      <c r="K44" s="2"/>
      <c r="L44" s="2"/>
    </row>
    <row r="45" spans="1:12" x14ac:dyDescent="0.2">
      <c r="A45" s="12">
        <f t="shared" si="1"/>
        <v>40</v>
      </c>
      <c r="B45" s="10"/>
      <c r="C45" s="3" t="s">
        <v>13</v>
      </c>
      <c r="D45" s="2">
        <v>390000</v>
      </c>
      <c r="E45" s="2">
        <v>225000</v>
      </c>
      <c r="F45" s="11"/>
      <c r="G45" s="11">
        <f t="shared" si="0"/>
        <v>615000</v>
      </c>
      <c r="I45" s="2"/>
      <c r="J45" s="2"/>
      <c r="K45" s="2"/>
      <c r="L45" s="2"/>
    </row>
    <row r="46" spans="1:12" x14ac:dyDescent="0.2">
      <c r="A46" s="12">
        <f t="shared" si="1"/>
        <v>41</v>
      </c>
      <c r="B46" s="10"/>
      <c r="C46" s="3" t="s">
        <v>9</v>
      </c>
      <c r="E46" s="2">
        <v>180000</v>
      </c>
      <c r="F46" s="11"/>
      <c r="G46" s="11">
        <f t="shared" si="0"/>
        <v>180000</v>
      </c>
      <c r="I46" s="2"/>
      <c r="J46" s="2"/>
      <c r="K46" s="2"/>
      <c r="L46" s="2"/>
    </row>
    <row r="47" spans="1:12" x14ac:dyDescent="0.2">
      <c r="A47" s="12">
        <f t="shared" si="1"/>
        <v>42</v>
      </c>
      <c r="B47" s="10"/>
      <c r="C47" s="3" t="s">
        <v>11</v>
      </c>
      <c r="E47" s="2">
        <v>280000</v>
      </c>
      <c r="F47" s="11"/>
      <c r="G47" s="11">
        <f t="shared" si="0"/>
        <v>280000</v>
      </c>
      <c r="I47" s="2"/>
      <c r="J47" s="2"/>
      <c r="K47" s="2"/>
      <c r="L47" s="2"/>
    </row>
    <row r="48" spans="1:12" x14ac:dyDescent="0.2">
      <c r="A48" s="12">
        <f t="shared" si="1"/>
        <v>43</v>
      </c>
      <c r="B48" s="10"/>
      <c r="C48" s="3" t="s">
        <v>9</v>
      </c>
      <c r="E48" s="2">
        <v>570000</v>
      </c>
      <c r="F48" s="11"/>
      <c r="G48" s="11">
        <f t="shared" si="0"/>
        <v>570000</v>
      </c>
      <c r="I48" s="2"/>
      <c r="J48" s="2"/>
      <c r="K48" s="2"/>
      <c r="L48" s="2"/>
    </row>
    <row r="49" spans="1:12" x14ac:dyDescent="0.2">
      <c r="A49" s="12">
        <f t="shared" si="1"/>
        <v>44</v>
      </c>
      <c r="B49" s="10"/>
      <c r="C49" s="3" t="s">
        <v>11</v>
      </c>
      <c r="E49" s="2">
        <v>540000</v>
      </c>
      <c r="F49" s="11"/>
      <c r="G49" s="11">
        <f t="shared" si="0"/>
        <v>540000</v>
      </c>
      <c r="I49" s="2"/>
      <c r="J49" s="2"/>
      <c r="K49" s="2"/>
      <c r="L49" s="2"/>
    </row>
    <row r="50" spans="1:12" x14ac:dyDescent="0.2">
      <c r="A50" s="12">
        <f t="shared" si="1"/>
        <v>45</v>
      </c>
      <c r="B50" s="10"/>
      <c r="C50" s="3" t="s">
        <v>9</v>
      </c>
      <c r="E50" s="2">
        <v>180000</v>
      </c>
      <c r="F50" s="11"/>
      <c r="G50" s="11">
        <f t="shared" si="0"/>
        <v>180000</v>
      </c>
      <c r="I50" s="2"/>
      <c r="J50" s="2"/>
      <c r="K50" s="2"/>
      <c r="L50" s="2"/>
    </row>
    <row r="51" spans="1:12" x14ac:dyDescent="0.2">
      <c r="A51" s="12">
        <f t="shared" si="1"/>
        <v>46</v>
      </c>
      <c r="B51" s="10"/>
      <c r="C51" s="3" t="s">
        <v>9</v>
      </c>
      <c r="E51" s="2">
        <v>220000</v>
      </c>
      <c r="F51" s="11"/>
      <c r="G51" s="11">
        <f t="shared" si="0"/>
        <v>220000</v>
      </c>
      <c r="I51" s="2"/>
      <c r="J51" s="2"/>
      <c r="K51" s="2"/>
      <c r="L51" s="2"/>
    </row>
    <row r="52" spans="1:12" x14ac:dyDescent="0.2">
      <c r="A52" s="12">
        <f t="shared" si="1"/>
        <v>47</v>
      </c>
      <c r="B52" s="10"/>
      <c r="C52" s="3" t="s">
        <v>9</v>
      </c>
      <c r="E52" s="2">
        <v>180000</v>
      </c>
      <c r="F52" s="11"/>
      <c r="G52" s="11">
        <f t="shared" si="0"/>
        <v>180000</v>
      </c>
      <c r="I52" s="2"/>
      <c r="J52" s="2"/>
      <c r="K52" s="2"/>
      <c r="L52" s="2"/>
    </row>
    <row r="53" spans="1:12" x14ac:dyDescent="0.2">
      <c r="A53" s="12">
        <f t="shared" si="1"/>
        <v>48</v>
      </c>
      <c r="B53" s="10"/>
      <c r="C53" s="3" t="s">
        <v>9</v>
      </c>
      <c r="E53" s="2">
        <v>160000</v>
      </c>
      <c r="F53" s="11"/>
      <c r="G53" s="11">
        <f t="shared" si="0"/>
        <v>160000</v>
      </c>
      <c r="I53" s="2"/>
      <c r="J53" s="2"/>
      <c r="K53" s="2"/>
      <c r="L53" s="2"/>
    </row>
    <row r="54" spans="1:12" x14ac:dyDescent="0.2">
      <c r="A54" s="12">
        <f t="shared" si="1"/>
        <v>49</v>
      </c>
      <c r="B54" s="10"/>
      <c r="C54" s="3" t="s">
        <v>10</v>
      </c>
      <c r="E54" s="2">
        <v>360000</v>
      </c>
      <c r="F54" s="11"/>
      <c r="G54" s="11">
        <f t="shared" si="0"/>
        <v>360000</v>
      </c>
      <c r="I54" s="2"/>
      <c r="J54" s="2"/>
      <c r="K54" s="2"/>
      <c r="L54" s="2"/>
    </row>
    <row r="55" spans="1:12" x14ac:dyDescent="0.2">
      <c r="A55" s="12">
        <f t="shared" si="1"/>
        <v>50</v>
      </c>
      <c r="B55" s="10"/>
      <c r="C55" s="3" t="s">
        <v>9</v>
      </c>
      <c r="E55" s="2">
        <v>160000</v>
      </c>
      <c r="F55" s="11"/>
      <c r="G55" s="11">
        <f t="shared" si="0"/>
        <v>160000</v>
      </c>
      <c r="I55" s="2"/>
      <c r="J55" s="2"/>
      <c r="K55" s="2"/>
      <c r="L55" s="2"/>
    </row>
    <row r="56" spans="1:12" x14ac:dyDescent="0.2">
      <c r="A56" s="12">
        <f t="shared" si="1"/>
        <v>51</v>
      </c>
      <c r="B56" s="10"/>
      <c r="C56" s="3" t="s">
        <v>9</v>
      </c>
      <c r="E56" s="2">
        <v>160000</v>
      </c>
      <c r="F56" s="11"/>
      <c r="G56" s="11">
        <f t="shared" si="0"/>
        <v>160000</v>
      </c>
      <c r="I56" s="2"/>
      <c r="J56" s="2"/>
      <c r="K56" s="2"/>
      <c r="L56" s="2"/>
    </row>
    <row r="57" spans="1:12" x14ac:dyDescent="0.2">
      <c r="A57" s="12">
        <f t="shared" si="1"/>
        <v>52</v>
      </c>
      <c r="B57" s="10"/>
      <c r="C57" s="3" t="s">
        <v>9</v>
      </c>
      <c r="E57" s="2">
        <v>310000</v>
      </c>
      <c r="F57" s="11"/>
      <c r="G57" s="11">
        <f t="shared" si="0"/>
        <v>310000</v>
      </c>
      <c r="I57" s="2"/>
      <c r="J57" s="2"/>
      <c r="K57" s="2"/>
      <c r="L57" s="2"/>
    </row>
    <row r="58" spans="1:12" x14ac:dyDescent="0.2">
      <c r="A58" s="12">
        <f t="shared" si="1"/>
        <v>53</v>
      </c>
      <c r="B58" s="10"/>
      <c r="C58" s="3" t="s">
        <v>9</v>
      </c>
      <c r="D58" s="2">
        <v>200000</v>
      </c>
      <c r="E58" s="2">
        <v>400000</v>
      </c>
      <c r="F58" s="11"/>
      <c r="G58" s="11">
        <f t="shared" si="0"/>
        <v>600000</v>
      </c>
      <c r="I58" s="2"/>
      <c r="J58" s="2"/>
      <c r="K58" s="2"/>
      <c r="L58" s="2"/>
    </row>
    <row r="59" spans="1:12" x14ac:dyDescent="0.2">
      <c r="A59" s="12">
        <f t="shared" si="1"/>
        <v>54</v>
      </c>
      <c r="B59" s="10"/>
      <c r="C59" s="3" t="s">
        <v>9</v>
      </c>
      <c r="E59" s="2">
        <v>120000</v>
      </c>
      <c r="F59" s="11"/>
      <c r="G59" s="11">
        <f t="shared" si="0"/>
        <v>120000</v>
      </c>
      <c r="I59" s="2"/>
      <c r="J59" s="2"/>
      <c r="K59" s="2"/>
      <c r="L59" s="2"/>
    </row>
    <row r="60" spans="1:12" x14ac:dyDescent="0.2">
      <c r="A60" s="12">
        <f t="shared" si="1"/>
        <v>55</v>
      </c>
      <c r="B60" s="10"/>
      <c r="C60" s="3" t="s">
        <v>9</v>
      </c>
      <c r="E60" s="2">
        <v>510000</v>
      </c>
      <c r="F60" s="11"/>
      <c r="G60" s="11">
        <f t="shared" si="0"/>
        <v>510000</v>
      </c>
      <c r="I60" s="2"/>
      <c r="J60" s="2"/>
      <c r="K60" s="2"/>
      <c r="L60" s="2"/>
    </row>
    <row r="61" spans="1:12" x14ac:dyDescent="0.2">
      <c r="A61" s="12">
        <f t="shared" si="1"/>
        <v>56</v>
      </c>
      <c r="B61" s="10"/>
      <c r="C61" s="3" t="s">
        <v>11</v>
      </c>
      <c r="E61" s="2">
        <v>280000</v>
      </c>
      <c r="F61" s="11"/>
      <c r="G61" s="11">
        <f t="shared" si="0"/>
        <v>280000</v>
      </c>
      <c r="I61" s="2"/>
      <c r="J61" s="2"/>
      <c r="K61" s="2"/>
      <c r="L61" s="2"/>
    </row>
    <row r="62" spans="1:12" x14ac:dyDescent="0.2">
      <c r="A62" s="12">
        <f t="shared" si="1"/>
        <v>57</v>
      </c>
      <c r="B62" s="10"/>
      <c r="C62" s="3" t="s">
        <v>9</v>
      </c>
      <c r="E62" s="2">
        <v>520000</v>
      </c>
      <c r="F62" s="11"/>
      <c r="G62" s="11">
        <f t="shared" si="0"/>
        <v>520000</v>
      </c>
      <c r="I62" s="2"/>
      <c r="J62" s="2"/>
      <c r="K62" s="2"/>
      <c r="L62" s="2"/>
    </row>
    <row r="63" spans="1:12" x14ac:dyDescent="0.2">
      <c r="A63" s="12">
        <f t="shared" si="1"/>
        <v>58</v>
      </c>
      <c r="B63" s="10"/>
      <c r="C63" s="3" t="s">
        <v>9</v>
      </c>
      <c r="E63" s="2">
        <v>200000</v>
      </c>
      <c r="F63" s="11"/>
      <c r="G63" s="11">
        <f t="shared" si="0"/>
        <v>200000</v>
      </c>
      <c r="I63" s="2"/>
      <c r="J63" s="2"/>
      <c r="K63" s="2"/>
      <c r="L63" s="2"/>
    </row>
    <row r="64" spans="1:12" x14ac:dyDescent="0.2">
      <c r="A64" s="12">
        <f t="shared" si="1"/>
        <v>59</v>
      </c>
      <c r="B64" s="10"/>
      <c r="C64" s="3" t="s">
        <v>9</v>
      </c>
      <c r="E64" s="2">
        <v>170000</v>
      </c>
      <c r="F64" s="11"/>
      <c r="G64" s="11">
        <f t="shared" si="0"/>
        <v>170000</v>
      </c>
      <c r="I64" s="2"/>
      <c r="J64" s="2"/>
      <c r="K64" s="2"/>
      <c r="L64" s="2"/>
    </row>
    <row r="65" spans="1:12" x14ac:dyDescent="0.2">
      <c r="A65" s="12">
        <f t="shared" si="1"/>
        <v>60</v>
      </c>
      <c r="B65" s="10"/>
      <c r="C65" s="3" t="s">
        <v>12</v>
      </c>
      <c r="E65" s="2">
        <v>40000</v>
      </c>
      <c r="F65" s="11"/>
      <c r="G65" s="11">
        <f t="shared" si="0"/>
        <v>40000</v>
      </c>
      <c r="I65" s="2"/>
      <c r="J65" s="2"/>
      <c r="K65" s="2"/>
      <c r="L65" s="2"/>
    </row>
    <row r="66" spans="1:12" x14ac:dyDescent="0.2">
      <c r="A66" s="12">
        <f t="shared" si="1"/>
        <v>61</v>
      </c>
      <c r="B66" s="10"/>
      <c r="C66" s="3" t="s">
        <v>9</v>
      </c>
      <c r="E66" s="2">
        <v>240000</v>
      </c>
      <c r="F66" s="11"/>
      <c r="G66" s="11">
        <f t="shared" si="0"/>
        <v>240000</v>
      </c>
      <c r="I66" s="2"/>
      <c r="J66" s="2"/>
      <c r="K66" s="2"/>
      <c r="L66" s="2"/>
    </row>
    <row r="67" spans="1:12" x14ac:dyDescent="0.2">
      <c r="A67" s="12">
        <f t="shared" si="1"/>
        <v>62</v>
      </c>
      <c r="B67" s="10"/>
      <c r="C67" s="3" t="s">
        <v>9</v>
      </c>
      <c r="E67" s="2">
        <v>1120000</v>
      </c>
      <c r="F67" s="11"/>
      <c r="G67" s="11">
        <f t="shared" si="0"/>
        <v>1120000</v>
      </c>
      <c r="I67" s="2"/>
      <c r="J67" s="2"/>
      <c r="K67" s="2"/>
      <c r="L67" s="2"/>
    </row>
    <row r="68" spans="1:12" x14ac:dyDescent="0.2">
      <c r="A68" s="12">
        <f t="shared" si="1"/>
        <v>63</v>
      </c>
      <c r="B68" s="10"/>
      <c r="C68" s="3" t="s">
        <v>9</v>
      </c>
      <c r="E68" s="2">
        <v>200000</v>
      </c>
      <c r="F68" s="11"/>
      <c r="G68" s="11">
        <f t="shared" si="0"/>
        <v>200000</v>
      </c>
      <c r="I68" s="2"/>
      <c r="J68" s="2"/>
      <c r="K68" s="2"/>
      <c r="L68" s="2"/>
    </row>
    <row r="69" spans="1:12" x14ac:dyDescent="0.2">
      <c r="A69" s="12">
        <f t="shared" si="1"/>
        <v>64</v>
      </c>
      <c r="B69" s="10"/>
      <c r="C69" s="3" t="s">
        <v>9</v>
      </c>
      <c r="E69" s="2">
        <v>140000</v>
      </c>
      <c r="F69" s="11"/>
      <c r="G69" s="11">
        <f t="shared" si="0"/>
        <v>140000</v>
      </c>
      <c r="I69" s="2"/>
      <c r="J69" s="2"/>
      <c r="K69" s="2"/>
      <c r="L69" s="2"/>
    </row>
    <row r="70" spans="1:12" x14ac:dyDescent="0.2">
      <c r="A70" s="12">
        <f t="shared" si="1"/>
        <v>65</v>
      </c>
      <c r="B70" s="10"/>
      <c r="C70" s="3" t="s">
        <v>9</v>
      </c>
      <c r="E70" s="2">
        <v>180000</v>
      </c>
      <c r="F70" s="11"/>
      <c r="G70" s="11">
        <f t="shared" si="0"/>
        <v>180000</v>
      </c>
      <c r="I70" s="2"/>
      <c r="J70" s="2"/>
      <c r="K70" s="2"/>
      <c r="L70" s="2"/>
    </row>
    <row r="71" spans="1:12" x14ac:dyDescent="0.2">
      <c r="A71" s="12">
        <f t="shared" si="1"/>
        <v>66</v>
      </c>
      <c r="B71" s="10"/>
      <c r="C71" s="3" t="s">
        <v>9</v>
      </c>
      <c r="E71" s="2">
        <v>130000</v>
      </c>
      <c r="F71" s="11"/>
      <c r="G71" s="11">
        <f t="shared" si="0"/>
        <v>130000</v>
      </c>
      <c r="I71" s="2"/>
      <c r="J71" s="2"/>
      <c r="K71" s="2"/>
      <c r="L71" s="2"/>
    </row>
    <row r="72" spans="1:12" x14ac:dyDescent="0.2">
      <c r="A72" s="12">
        <f t="shared" ref="A72:A135" si="2">A71+1</f>
        <v>67</v>
      </c>
      <c r="B72" s="10"/>
      <c r="C72" s="3" t="s">
        <v>11</v>
      </c>
      <c r="E72" s="2">
        <v>350000</v>
      </c>
      <c r="F72" s="11"/>
      <c r="G72" s="11">
        <f t="shared" si="0"/>
        <v>350000</v>
      </c>
      <c r="I72" s="2"/>
      <c r="J72" s="2"/>
      <c r="K72" s="2"/>
      <c r="L72" s="2"/>
    </row>
    <row r="73" spans="1:12" x14ac:dyDescent="0.2">
      <c r="A73" s="12">
        <f t="shared" si="2"/>
        <v>68</v>
      </c>
      <c r="B73" s="10"/>
      <c r="C73" s="3" t="s">
        <v>9</v>
      </c>
      <c r="E73" s="2">
        <v>120000</v>
      </c>
      <c r="F73" s="11"/>
      <c r="G73" s="11">
        <f t="shared" si="0"/>
        <v>120000</v>
      </c>
      <c r="I73" s="2"/>
      <c r="J73" s="2"/>
      <c r="K73" s="2"/>
      <c r="L73" s="2"/>
    </row>
    <row r="74" spans="1:12" x14ac:dyDescent="0.2">
      <c r="A74" s="12">
        <f t="shared" si="2"/>
        <v>69</v>
      </c>
      <c r="B74" s="10"/>
      <c r="C74" s="3" t="s">
        <v>9</v>
      </c>
      <c r="E74" s="2">
        <v>130000</v>
      </c>
      <c r="F74" s="11"/>
      <c r="G74" s="11">
        <f t="shared" si="0"/>
        <v>130000</v>
      </c>
      <c r="I74" s="2"/>
      <c r="J74" s="2"/>
      <c r="K74" s="2"/>
      <c r="L74" s="2"/>
    </row>
    <row r="75" spans="1:12" x14ac:dyDescent="0.2">
      <c r="A75" s="12">
        <f t="shared" si="2"/>
        <v>70</v>
      </c>
      <c r="B75" s="10"/>
      <c r="C75" s="3" t="s">
        <v>9</v>
      </c>
      <c r="E75" s="2">
        <v>180000</v>
      </c>
      <c r="F75" s="11"/>
      <c r="G75" s="11">
        <f t="shared" si="0"/>
        <v>180000</v>
      </c>
      <c r="I75" s="2"/>
      <c r="J75" s="2"/>
      <c r="K75" s="2"/>
      <c r="L75" s="2"/>
    </row>
    <row r="76" spans="1:12" x14ac:dyDescent="0.2">
      <c r="A76" s="12">
        <f t="shared" si="2"/>
        <v>71</v>
      </c>
      <c r="B76" s="10"/>
      <c r="C76" s="3" t="s">
        <v>9</v>
      </c>
      <c r="E76" s="2">
        <v>330000</v>
      </c>
      <c r="F76" s="11"/>
      <c r="G76" s="11">
        <f t="shared" si="0"/>
        <v>330000</v>
      </c>
      <c r="I76" s="2"/>
      <c r="J76" s="2"/>
      <c r="K76" s="2"/>
      <c r="L76" s="2"/>
    </row>
    <row r="77" spans="1:12" x14ac:dyDescent="0.2">
      <c r="A77" s="12">
        <f t="shared" si="2"/>
        <v>72</v>
      </c>
      <c r="B77" s="10"/>
      <c r="C77" s="3" t="s">
        <v>9</v>
      </c>
      <c r="E77" s="2">
        <v>120000</v>
      </c>
      <c r="F77" s="11"/>
      <c r="G77" s="11">
        <f t="shared" si="0"/>
        <v>120000</v>
      </c>
      <c r="I77" s="2"/>
      <c r="J77" s="2"/>
      <c r="K77" s="2"/>
      <c r="L77" s="2"/>
    </row>
    <row r="78" spans="1:12" x14ac:dyDescent="0.2">
      <c r="A78" s="12">
        <f t="shared" si="2"/>
        <v>73</v>
      </c>
      <c r="B78" s="10"/>
      <c r="C78" s="3" t="s">
        <v>9</v>
      </c>
      <c r="E78" s="2">
        <v>210000</v>
      </c>
      <c r="F78" s="11"/>
      <c r="G78" s="11">
        <f t="shared" si="0"/>
        <v>210000</v>
      </c>
      <c r="I78" s="2"/>
      <c r="J78" s="2"/>
      <c r="K78" s="2"/>
      <c r="L78" s="2"/>
    </row>
    <row r="79" spans="1:12" x14ac:dyDescent="0.2">
      <c r="A79" s="12">
        <f t="shared" si="2"/>
        <v>74</v>
      </c>
      <c r="B79" s="10"/>
      <c r="C79" s="3" t="s">
        <v>17</v>
      </c>
      <c r="E79" s="2">
        <v>880000</v>
      </c>
      <c r="F79" s="11"/>
      <c r="G79" s="11">
        <f t="shared" si="0"/>
        <v>880000</v>
      </c>
      <c r="I79" s="2"/>
      <c r="J79" s="2"/>
      <c r="K79" s="2"/>
      <c r="L79" s="2"/>
    </row>
    <row r="80" spans="1:12" x14ac:dyDescent="0.2">
      <c r="A80" s="12">
        <f t="shared" si="2"/>
        <v>75</v>
      </c>
      <c r="B80" s="10"/>
      <c r="C80" s="3" t="s">
        <v>9</v>
      </c>
      <c r="E80" s="2">
        <v>190000</v>
      </c>
      <c r="F80" s="11"/>
      <c r="G80" s="11">
        <f t="shared" si="0"/>
        <v>190000</v>
      </c>
      <c r="I80" s="2"/>
      <c r="J80" s="2"/>
      <c r="K80" s="2"/>
      <c r="L80" s="2"/>
    </row>
    <row r="81" spans="1:12" x14ac:dyDescent="0.2">
      <c r="A81" s="12">
        <f t="shared" si="2"/>
        <v>76</v>
      </c>
      <c r="B81" s="10"/>
      <c r="C81" s="3" t="s">
        <v>9</v>
      </c>
      <c r="E81" s="2">
        <v>130000</v>
      </c>
      <c r="F81" s="11"/>
      <c r="G81" s="11">
        <f t="shared" ref="G81:G151" si="3">D81+E81+F81</f>
        <v>130000</v>
      </c>
      <c r="I81" s="2"/>
      <c r="J81" s="2"/>
      <c r="K81" s="2"/>
      <c r="L81" s="2"/>
    </row>
    <row r="82" spans="1:12" x14ac:dyDescent="0.2">
      <c r="A82" s="12">
        <f t="shared" si="2"/>
        <v>77</v>
      </c>
      <c r="B82" s="10"/>
      <c r="C82" s="3" t="s">
        <v>9</v>
      </c>
      <c r="E82" s="2">
        <v>370000</v>
      </c>
      <c r="F82" s="11"/>
      <c r="G82" s="11">
        <f t="shared" si="3"/>
        <v>370000</v>
      </c>
      <c r="I82" s="2"/>
      <c r="J82" s="2"/>
      <c r="K82" s="2"/>
      <c r="L82" s="2"/>
    </row>
    <row r="83" spans="1:12" x14ac:dyDescent="0.2">
      <c r="A83" s="12">
        <f t="shared" si="2"/>
        <v>78</v>
      </c>
      <c r="B83" s="10"/>
      <c r="C83" s="3" t="s">
        <v>9</v>
      </c>
      <c r="E83" s="2">
        <v>130000</v>
      </c>
      <c r="F83" s="11"/>
      <c r="G83" s="11">
        <f t="shared" si="3"/>
        <v>130000</v>
      </c>
      <c r="L83" s="2"/>
    </row>
    <row r="84" spans="1:12" x14ac:dyDescent="0.2">
      <c r="A84" s="12">
        <f t="shared" si="2"/>
        <v>79</v>
      </c>
      <c r="B84" s="10"/>
      <c r="C84" s="3" t="s">
        <v>9</v>
      </c>
      <c r="E84" s="2">
        <v>390000</v>
      </c>
      <c r="F84" s="11"/>
      <c r="G84" s="11">
        <f t="shared" si="3"/>
        <v>390000</v>
      </c>
      <c r="L84" s="2"/>
    </row>
    <row r="85" spans="1:12" x14ac:dyDescent="0.2">
      <c r="A85" s="12">
        <f t="shared" si="2"/>
        <v>80</v>
      </c>
      <c r="B85" s="10"/>
      <c r="C85" s="3" t="s">
        <v>13</v>
      </c>
      <c r="D85" s="2">
        <v>5000000</v>
      </c>
      <c r="E85" s="2">
        <v>450000</v>
      </c>
      <c r="F85" s="11"/>
      <c r="G85" s="11">
        <f t="shared" si="3"/>
        <v>5450000</v>
      </c>
      <c r="L85" s="2"/>
    </row>
    <row r="86" spans="1:12" x14ac:dyDescent="0.2">
      <c r="A86" s="12">
        <f t="shared" si="2"/>
        <v>81</v>
      </c>
      <c r="B86" s="10"/>
      <c r="C86" s="3" t="s">
        <v>11</v>
      </c>
      <c r="E86" s="2">
        <v>180000</v>
      </c>
      <c r="F86" s="11"/>
      <c r="G86" s="11">
        <f t="shared" si="3"/>
        <v>180000</v>
      </c>
      <c r="L86" s="2"/>
    </row>
    <row r="87" spans="1:12" x14ac:dyDescent="0.2">
      <c r="A87" s="12">
        <f t="shared" si="2"/>
        <v>82</v>
      </c>
      <c r="B87" s="10"/>
      <c r="C87" s="3" t="s">
        <v>11</v>
      </c>
      <c r="E87" s="2">
        <v>300000</v>
      </c>
      <c r="F87" s="11"/>
      <c r="G87" s="11">
        <f t="shared" si="3"/>
        <v>300000</v>
      </c>
      <c r="L87" s="2"/>
    </row>
    <row r="88" spans="1:12" x14ac:dyDescent="0.2">
      <c r="A88" s="12">
        <f t="shared" si="2"/>
        <v>83</v>
      </c>
      <c r="B88" s="10"/>
      <c r="C88" s="3" t="s">
        <v>9</v>
      </c>
      <c r="E88" s="2">
        <v>130000</v>
      </c>
      <c r="F88" s="11"/>
      <c r="G88" s="11">
        <f t="shared" si="3"/>
        <v>130000</v>
      </c>
      <c r="L88" s="2"/>
    </row>
    <row r="89" spans="1:12" x14ac:dyDescent="0.2">
      <c r="A89" s="12">
        <f t="shared" si="2"/>
        <v>84</v>
      </c>
      <c r="B89" s="10"/>
      <c r="C89" s="3" t="s">
        <v>9</v>
      </c>
      <c r="E89" s="2">
        <v>180000</v>
      </c>
      <c r="F89" s="11"/>
      <c r="G89" s="11">
        <f t="shared" si="3"/>
        <v>180000</v>
      </c>
      <c r="L89" s="2"/>
    </row>
    <row r="90" spans="1:12" x14ac:dyDescent="0.2">
      <c r="A90" s="12">
        <f t="shared" si="2"/>
        <v>85</v>
      </c>
      <c r="B90" s="10"/>
      <c r="C90" s="3" t="s">
        <v>9</v>
      </c>
      <c r="E90" s="2">
        <v>210000</v>
      </c>
      <c r="F90" s="11"/>
      <c r="G90" s="11">
        <f t="shared" si="3"/>
        <v>210000</v>
      </c>
      <c r="L90" s="2"/>
    </row>
    <row r="91" spans="1:12" x14ac:dyDescent="0.2">
      <c r="A91" s="12">
        <f t="shared" si="2"/>
        <v>86</v>
      </c>
      <c r="B91" s="10"/>
      <c r="C91" s="3" t="s">
        <v>9</v>
      </c>
      <c r="E91" s="2">
        <v>200000</v>
      </c>
      <c r="F91" s="11"/>
      <c r="G91" s="11">
        <f t="shared" si="3"/>
        <v>200000</v>
      </c>
      <c r="L91" s="2"/>
    </row>
    <row r="92" spans="1:12" x14ac:dyDescent="0.2">
      <c r="A92" s="12">
        <f t="shared" si="2"/>
        <v>87</v>
      </c>
      <c r="B92" s="10"/>
      <c r="C92" s="3" t="s">
        <v>9</v>
      </c>
      <c r="E92" s="2">
        <v>180000</v>
      </c>
      <c r="F92" s="11"/>
      <c r="G92" s="11">
        <f t="shared" si="3"/>
        <v>180000</v>
      </c>
      <c r="L92" s="2"/>
    </row>
    <row r="93" spans="1:12" x14ac:dyDescent="0.2">
      <c r="A93" s="12">
        <f t="shared" si="2"/>
        <v>88</v>
      </c>
      <c r="B93" s="10"/>
      <c r="C93" s="3" t="s">
        <v>13</v>
      </c>
      <c r="D93" s="2">
        <v>1600000</v>
      </c>
      <c r="E93" s="2">
        <v>260000</v>
      </c>
      <c r="F93" s="11"/>
      <c r="G93" s="11">
        <f t="shared" si="3"/>
        <v>1860000</v>
      </c>
      <c r="L93" s="2"/>
    </row>
    <row r="94" spans="1:12" x14ac:dyDescent="0.2">
      <c r="A94" s="12">
        <f t="shared" si="2"/>
        <v>89</v>
      </c>
      <c r="B94" s="10"/>
      <c r="C94" s="3" t="s">
        <v>18</v>
      </c>
      <c r="E94" s="2">
        <v>400000</v>
      </c>
      <c r="F94" s="11"/>
      <c r="G94" s="11">
        <f t="shared" si="3"/>
        <v>400000</v>
      </c>
      <c r="L94" s="2"/>
    </row>
    <row r="95" spans="1:12" x14ac:dyDescent="0.2">
      <c r="A95" s="12">
        <f t="shared" si="2"/>
        <v>90</v>
      </c>
      <c r="B95" s="10"/>
      <c r="C95" s="3" t="s">
        <v>9</v>
      </c>
      <c r="E95" s="2">
        <v>200000</v>
      </c>
      <c r="F95" s="11"/>
      <c r="G95" s="11">
        <f t="shared" si="3"/>
        <v>200000</v>
      </c>
      <c r="L95" s="2"/>
    </row>
    <row r="96" spans="1:12" x14ac:dyDescent="0.2">
      <c r="A96" s="12">
        <f t="shared" si="2"/>
        <v>91</v>
      </c>
      <c r="B96" s="10"/>
      <c r="C96" s="3" t="s">
        <v>9</v>
      </c>
      <c r="E96" s="2">
        <v>130000</v>
      </c>
      <c r="F96" s="11"/>
      <c r="G96" s="11">
        <f t="shared" si="3"/>
        <v>130000</v>
      </c>
      <c r="L96" s="2"/>
    </row>
    <row r="97" spans="1:12" x14ac:dyDescent="0.2">
      <c r="A97" s="12">
        <f t="shared" si="2"/>
        <v>92</v>
      </c>
      <c r="B97" s="10"/>
      <c r="C97" s="3" t="s">
        <v>9</v>
      </c>
      <c r="E97" s="2">
        <v>375000</v>
      </c>
      <c r="F97" s="11"/>
      <c r="G97" s="11">
        <f t="shared" si="3"/>
        <v>375000</v>
      </c>
      <c r="L97" s="2"/>
    </row>
    <row r="98" spans="1:12" x14ac:dyDescent="0.2">
      <c r="A98" s="12">
        <f t="shared" si="2"/>
        <v>93</v>
      </c>
      <c r="B98" s="10"/>
      <c r="C98" s="3" t="s">
        <v>9</v>
      </c>
      <c r="E98" s="2">
        <v>170000</v>
      </c>
      <c r="F98" s="11"/>
      <c r="G98" s="11">
        <f t="shared" si="3"/>
        <v>170000</v>
      </c>
      <c r="L98" s="2"/>
    </row>
    <row r="99" spans="1:12" x14ac:dyDescent="0.2">
      <c r="A99" s="12">
        <f t="shared" si="2"/>
        <v>94</v>
      </c>
      <c r="B99" s="10"/>
      <c r="C99" s="3" t="s">
        <v>9</v>
      </c>
      <c r="E99" s="2">
        <v>160000</v>
      </c>
      <c r="F99" s="11"/>
      <c r="G99" s="11">
        <f t="shared" si="3"/>
        <v>160000</v>
      </c>
      <c r="L99" s="2"/>
    </row>
    <row r="100" spans="1:12" x14ac:dyDescent="0.2">
      <c r="A100" s="12">
        <f t="shared" si="2"/>
        <v>95</v>
      </c>
      <c r="B100" s="10"/>
      <c r="C100" s="3" t="s">
        <v>13</v>
      </c>
      <c r="D100" s="2">
        <v>1000000</v>
      </c>
      <c r="E100" s="2">
        <v>150000</v>
      </c>
      <c r="F100" s="11"/>
      <c r="G100" s="11">
        <f t="shared" si="3"/>
        <v>1150000</v>
      </c>
      <c r="L100" s="2"/>
    </row>
    <row r="101" spans="1:12" x14ac:dyDescent="0.2">
      <c r="A101" s="12">
        <f t="shared" si="2"/>
        <v>96</v>
      </c>
      <c r="B101" s="10"/>
      <c r="C101" s="3" t="s">
        <v>11</v>
      </c>
      <c r="E101" s="2">
        <v>280000</v>
      </c>
      <c r="F101" s="11"/>
      <c r="G101" s="11">
        <f t="shared" si="3"/>
        <v>280000</v>
      </c>
      <c r="L101" s="2"/>
    </row>
    <row r="102" spans="1:12" x14ac:dyDescent="0.2">
      <c r="A102" s="12">
        <f t="shared" si="2"/>
        <v>97</v>
      </c>
      <c r="B102" s="10"/>
      <c r="C102" s="3" t="s">
        <v>9</v>
      </c>
      <c r="E102" s="2">
        <v>220000</v>
      </c>
      <c r="F102" s="11"/>
      <c r="G102" s="11">
        <f t="shared" si="3"/>
        <v>220000</v>
      </c>
      <c r="L102" s="2"/>
    </row>
    <row r="103" spans="1:12" x14ac:dyDescent="0.2">
      <c r="A103" s="12">
        <f t="shared" si="2"/>
        <v>98</v>
      </c>
      <c r="B103" s="10"/>
      <c r="C103" s="3" t="s">
        <v>9</v>
      </c>
      <c r="E103" s="2">
        <v>380000</v>
      </c>
      <c r="F103" s="11"/>
      <c r="G103" s="11">
        <f t="shared" si="3"/>
        <v>380000</v>
      </c>
      <c r="L103" s="2"/>
    </row>
    <row r="104" spans="1:12" x14ac:dyDescent="0.2">
      <c r="A104" s="12">
        <f t="shared" si="2"/>
        <v>99</v>
      </c>
      <c r="B104" s="10"/>
      <c r="C104" s="3" t="s">
        <v>9</v>
      </c>
      <c r="E104" s="2">
        <v>300000</v>
      </c>
      <c r="F104" s="11"/>
      <c r="G104" s="11">
        <f t="shared" si="3"/>
        <v>300000</v>
      </c>
      <c r="L104" s="2"/>
    </row>
    <row r="105" spans="1:12" x14ac:dyDescent="0.2">
      <c r="A105" s="12">
        <f t="shared" si="2"/>
        <v>100</v>
      </c>
      <c r="B105" s="10"/>
      <c r="C105" s="3" t="s">
        <v>9</v>
      </c>
      <c r="E105" s="2">
        <v>360000</v>
      </c>
      <c r="F105" s="11"/>
      <c r="G105" s="11">
        <f t="shared" si="3"/>
        <v>360000</v>
      </c>
      <c r="L105" s="2"/>
    </row>
    <row r="106" spans="1:12" x14ac:dyDescent="0.2">
      <c r="A106" s="12">
        <f t="shared" si="2"/>
        <v>101</v>
      </c>
      <c r="B106" s="10"/>
      <c r="C106" s="3" t="s">
        <v>9</v>
      </c>
      <c r="E106" s="2">
        <v>120000</v>
      </c>
      <c r="F106" s="11"/>
      <c r="G106" s="11">
        <f t="shared" si="3"/>
        <v>120000</v>
      </c>
      <c r="L106" s="2"/>
    </row>
    <row r="107" spans="1:12" x14ac:dyDescent="0.2">
      <c r="A107" s="12">
        <f t="shared" si="2"/>
        <v>102</v>
      </c>
      <c r="B107" s="10"/>
      <c r="C107" s="3" t="s">
        <v>9</v>
      </c>
      <c r="E107" s="2">
        <v>120000</v>
      </c>
      <c r="F107" s="11"/>
      <c r="G107" s="11">
        <f t="shared" si="3"/>
        <v>120000</v>
      </c>
      <c r="L107" s="2"/>
    </row>
    <row r="108" spans="1:12" x14ac:dyDescent="0.2">
      <c r="A108" s="12">
        <f t="shared" si="2"/>
        <v>103</v>
      </c>
      <c r="B108" s="10"/>
      <c r="C108" s="3" t="s">
        <v>9</v>
      </c>
      <c r="E108" s="2">
        <v>390000</v>
      </c>
      <c r="F108" s="11"/>
      <c r="G108" s="11">
        <f t="shared" si="3"/>
        <v>390000</v>
      </c>
      <c r="L108" s="2"/>
    </row>
    <row r="109" spans="1:12" x14ac:dyDescent="0.2">
      <c r="A109" s="12">
        <f t="shared" si="2"/>
        <v>104</v>
      </c>
      <c r="B109" s="10"/>
      <c r="C109" s="3" t="s">
        <v>9</v>
      </c>
      <c r="E109" s="2">
        <v>160000</v>
      </c>
      <c r="F109" s="11"/>
      <c r="G109" s="11">
        <f t="shared" si="3"/>
        <v>160000</v>
      </c>
      <c r="L109" s="2"/>
    </row>
    <row r="110" spans="1:12" x14ac:dyDescent="0.2">
      <c r="A110" s="12">
        <f t="shared" si="2"/>
        <v>105</v>
      </c>
      <c r="B110" s="10"/>
      <c r="C110" s="3" t="s">
        <v>9</v>
      </c>
      <c r="E110" s="2">
        <v>120000</v>
      </c>
      <c r="F110" s="11"/>
      <c r="G110" s="11">
        <f t="shared" si="3"/>
        <v>120000</v>
      </c>
      <c r="L110" s="2"/>
    </row>
    <row r="111" spans="1:12" x14ac:dyDescent="0.2">
      <c r="A111" s="12">
        <f t="shared" si="2"/>
        <v>106</v>
      </c>
      <c r="B111" s="10"/>
      <c r="C111" s="3" t="s">
        <v>9</v>
      </c>
      <c r="E111" s="2">
        <v>185000</v>
      </c>
      <c r="F111" s="11"/>
      <c r="G111" s="11">
        <f t="shared" si="3"/>
        <v>185000</v>
      </c>
      <c r="L111" s="2"/>
    </row>
    <row r="112" spans="1:12" x14ac:dyDescent="0.2">
      <c r="A112" s="12">
        <f t="shared" si="2"/>
        <v>107</v>
      </c>
      <c r="B112" s="10"/>
      <c r="C112" s="3" t="s">
        <v>9</v>
      </c>
      <c r="E112" s="2">
        <v>290000</v>
      </c>
      <c r="F112" s="11"/>
      <c r="G112" s="11">
        <f t="shared" si="3"/>
        <v>290000</v>
      </c>
      <c r="L112" s="2"/>
    </row>
    <row r="113" spans="1:12" x14ac:dyDescent="0.2">
      <c r="A113" s="12">
        <f t="shared" si="2"/>
        <v>108</v>
      </c>
      <c r="B113" s="10"/>
      <c r="C113" s="3" t="s">
        <v>9</v>
      </c>
      <c r="E113" s="2">
        <v>120000</v>
      </c>
      <c r="F113" s="11"/>
      <c r="G113" s="11">
        <f t="shared" si="3"/>
        <v>120000</v>
      </c>
      <c r="L113" s="2"/>
    </row>
    <row r="114" spans="1:12" x14ac:dyDescent="0.2">
      <c r="A114" s="12">
        <f t="shared" si="2"/>
        <v>109</v>
      </c>
      <c r="B114" s="10"/>
      <c r="C114" s="3" t="s">
        <v>9</v>
      </c>
      <c r="E114" s="2">
        <v>130000</v>
      </c>
      <c r="F114" s="11"/>
      <c r="G114" s="11">
        <f t="shared" si="3"/>
        <v>130000</v>
      </c>
      <c r="L114" s="2"/>
    </row>
    <row r="115" spans="1:12" x14ac:dyDescent="0.2">
      <c r="A115" s="12">
        <f t="shared" si="2"/>
        <v>110</v>
      </c>
      <c r="B115" s="10"/>
      <c r="C115" s="3" t="s">
        <v>9</v>
      </c>
      <c r="E115" s="2">
        <v>120000</v>
      </c>
      <c r="F115" s="11"/>
      <c r="G115" s="11">
        <f t="shared" si="3"/>
        <v>120000</v>
      </c>
      <c r="L115" s="2"/>
    </row>
    <row r="116" spans="1:12" x14ac:dyDescent="0.2">
      <c r="A116" s="12">
        <f t="shared" si="2"/>
        <v>111</v>
      </c>
      <c r="B116" s="10"/>
      <c r="C116" s="3" t="s">
        <v>9</v>
      </c>
      <c r="E116" s="2">
        <v>210000</v>
      </c>
      <c r="F116" s="11"/>
      <c r="G116" s="11">
        <f t="shared" si="3"/>
        <v>210000</v>
      </c>
      <c r="L116" s="2"/>
    </row>
    <row r="117" spans="1:12" x14ac:dyDescent="0.2">
      <c r="A117" s="12">
        <f t="shared" si="2"/>
        <v>112</v>
      </c>
      <c r="B117" s="10"/>
      <c r="C117" s="3" t="s">
        <v>9</v>
      </c>
      <c r="E117" s="2">
        <v>200000</v>
      </c>
      <c r="F117" s="11"/>
      <c r="G117" s="11">
        <f t="shared" si="3"/>
        <v>200000</v>
      </c>
      <c r="L117" s="2"/>
    </row>
    <row r="118" spans="1:12" x14ac:dyDescent="0.2">
      <c r="A118" s="12">
        <f t="shared" si="2"/>
        <v>113</v>
      </c>
      <c r="B118" s="10"/>
      <c r="C118" s="3" t="s">
        <v>9</v>
      </c>
      <c r="E118" s="2">
        <v>160000</v>
      </c>
      <c r="F118" s="11"/>
      <c r="G118" s="11">
        <f t="shared" si="3"/>
        <v>160000</v>
      </c>
      <c r="L118" s="2"/>
    </row>
    <row r="119" spans="1:12" x14ac:dyDescent="0.2">
      <c r="A119" s="12">
        <f t="shared" si="2"/>
        <v>114</v>
      </c>
      <c r="B119" s="10"/>
      <c r="C119" s="3" t="s">
        <v>9</v>
      </c>
      <c r="E119" s="2">
        <v>200000</v>
      </c>
      <c r="F119" s="11"/>
      <c r="G119" s="11">
        <f t="shared" si="3"/>
        <v>200000</v>
      </c>
      <c r="L119" s="2"/>
    </row>
    <row r="120" spans="1:12" x14ac:dyDescent="0.2">
      <c r="A120" s="12">
        <f t="shared" si="2"/>
        <v>115</v>
      </c>
      <c r="B120" s="10"/>
      <c r="C120" s="3" t="s">
        <v>9</v>
      </c>
      <c r="E120" s="2">
        <v>160000</v>
      </c>
      <c r="F120" s="11"/>
      <c r="G120" s="11">
        <f t="shared" si="3"/>
        <v>160000</v>
      </c>
      <c r="L120" s="2"/>
    </row>
    <row r="121" spans="1:12" x14ac:dyDescent="0.2">
      <c r="A121" s="12">
        <f t="shared" si="2"/>
        <v>116</v>
      </c>
      <c r="B121" s="10"/>
      <c r="C121" s="3" t="s">
        <v>9</v>
      </c>
      <c r="E121" s="2">
        <v>240000</v>
      </c>
      <c r="F121" s="11"/>
      <c r="G121" s="11">
        <f t="shared" si="3"/>
        <v>240000</v>
      </c>
      <c r="L121" s="2"/>
    </row>
    <row r="122" spans="1:12" x14ac:dyDescent="0.2">
      <c r="A122" s="12">
        <f t="shared" si="2"/>
        <v>117</v>
      </c>
      <c r="B122" s="10"/>
      <c r="C122" s="3" t="s">
        <v>9</v>
      </c>
      <c r="E122" s="2">
        <v>180000</v>
      </c>
      <c r="F122" s="11"/>
      <c r="G122" s="11">
        <f t="shared" si="3"/>
        <v>180000</v>
      </c>
      <c r="L122" s="2"/>
    </row>
    <row r="123" spans="1:12" x14ac:dyDescent="0.2">
      <c r="A123" s="12">
        <f t="shared" si="2"/>
        <v>118</v>
      </c>
      <c r="B123" s="10"/>
      <c r="C123" s="3" t="s">
        <v>9</v>
      </c>
      <c r="E123" s="2">
        <v>195000</v>
      </c>
      <c r="F123" s="11"/>
      <c r="G123" s="11">
        <f t="shared" si="3"/>
        <v>195000</v>
      </c>
      <c r="L123" s="2"/>
    </row>
    <row r="124" spans="1:12" x14ac:dyDescent="0.2">
      <c r="A124" s="12">
        <f t="shared" si="2"/>
        <v>119</v>
      </c>
      <c r="B124" s="10"/>
      <c r="C124" s="3" t="s">
        <v>9</v>
      </c>
      <c r="E124" s="2">
        <v>120000</v>
      </c>
      <c r="F124" s="11"/>
      <c r="G124" s="11">
        <f t="shared" si="3"/>
        <v>120000</v>
      </c>
      <c r="L124" s="2"/>
    </row>
    <row r="125" spans="1:12" x14ac:dyDescent="0.2">
      <c r="A125" s="12">
        <f t="shared" si="2"/>
        <v>120</v>
      </c>
      <c r="B125" s="10"/>
      <c r="C125" s="3" t="s">
        <v>9</v>
      </c>
      <c r="E125" s="2">
        <v>250000</v>
      </c>
      <c r="F125" s="11"/>
      <c r="G125" s="11">
        <f t="shared" si="3"/>
        <v>250000</v>
      </c>
      <c r="L125" s="2"/>
    </row>
    <row r="126" spans="1:12" x14ac:dyDescent="0.2">
      <c r="A126" s="12">
        <f t="shared" si="2"/>
        <v>121</v>
      </c>
      <c r="B126" s="10"/>
      <c r="C126" s="3" t="s">
        <v>9</v>
      </c>
      <c r="D126" s="2">
        <v>100000</v>
      </c>
      <c r="E126" s="2">
        <v>250000</v>
      </c>
      <c r="F126" s="11"/>
      <c r="G126" s="11">
        <f t="shared" si="3"/>
        <v>350000</v>
      </c>
      <c r="L126" s="2"/>
    </row>
    <row r="127" spans="1:12" x14ac:dyDescent="0.2">
      <c r="A127" s="12">
        <f t="shared" si="2"/>
        <v>122</v>
      </c>
      <c r="B127" s="10"/>
      <c r="C127" s="3" t="s">
        <v>9</v>
      </c>
      <c r="E127" s="2">
        <v>120000</v>
      </c>
      <c r="F127" s="11"/>
      <c r="G127" s="11">
        <f t="shared" si="3"/>
        <v>120000</v>
      </c>
      <c r="L127" s="2"/>
    </row>
    <row r="128" spans="1:12" x14ac:dyDescent="0.2">
      <c r="A128" s="12">
        <f t="shared" si="2"/>
        <v>123</v>
      </c>
      <c r="B128" s="10"/>
      <c r="C128" s="3" t="s">
        <v>9</v>
      </c>
      <c r="E128" s="2">
        <v>120000</v>
      </c>
      <c r="F128" s="11"/>
      <c r="G128" s="11">
        <f t="shared" si="3"/>
        <v>120000</v>
      </c>
      <c r="L128" s="2"/>
    </row>
    <row r="129" spans="1:12" x14ac:dyDescent="0.2">
      <c r="A129" s="12">
        <f t="shared" si="2"/>
        <v>124</v>
      </c>
      <c r="B129" s="10"/>
      <c r="C129" s="3" t="s">
        <v>9</v>
      </c>
      <c r="E129" s="2">
        <v>130000</v>
      </c>
      <c r="F129" s="11"/>
      <c r="G129" s="11">
        <f t="shared" si="3"/>
        <v>130000</v>
      </c>
      <c r="L129" s="2"/>
    </row>
    <row r="130" spans="1:12" x14ac:dyDescent="0.2">
      <c r="A130" s="12">
        <f t="shared" si="2"/>
        <v>125</v>
      </c>
      <c r="B130" s="10"/>
      <c r="C130" s="3" t="s">
        <v>9</v>
      </c>
      <c r="E130" s="2">
        <v>160000</v>
      </c>
      <c r="F130" s="11"/>
      <c r="G130" s="11">
        <f t="shared" si="3"/>
        <v>160000</v>
      </c>
      <c r="L130" s="2"/>
    </row>
    <row r="131" spans="1:12" x14ac:dyDescent="0.2">
      <c r="A131" s="12">
        <f t="shared" si="2"/>
        <v>126</v>
      </c>
      <c r="B131" s="10"/>
      <c r="C131" s="3" t="s">
        <v>9</v>
      </c>
      <c r="E131" s="2">
        <v>470000</v>
      </c>
      <c r="F131" s="11"/>
      <c r="G131" s="11">
        <f t="shared" si="3"/>
        <v>470000</v>
      </c>
      <c r="L131" s="2"/>
    </row>
    <row r="132" spans="1:12" x14ac:dyDescent="0.2">
      <c r="A132" s="12">
        <f t="shared" si="2"/>
        <v>127</v>
      </c>
      <c r="B132" s="10"/>
      <c r="C132" s="3" t="s">
        <v>9</v>
      </c>
      <c r="E132" s="2">
        <v>130000</v>
      </c>
      <c r="F132" s="11"/>
      <c r="G132" s="11">
        <f t="shared" si="3"/>
        <v>130000</v>
      </c>
      <c r="L132" s="2"/>
    </row>
    <row r="133" spans="1:12" x14ac:dyDescent="0.2">
      <c r="A133" s="12">
        <f t="shared" si="2"/>
        <v>128</v>
      </c>
      <c r="B133" s="10"/>
      <c r="C133" s="3" t="s">
        <v>9</v>
      </c>
      <c r="E133" s="2">
        <v>120000</v>
      </c>
      <c r="F133" s="11"/>
      <c r="G133" s="11">
        <f t="shared" si="3"/>
        <v>120000</v>
      </c>
      <c r="L133" s="2"/>
    </row>
    <row r="134" spans="1:12" x14ac:dyDescent="0.2">
      <c r="A134" s="12">
        <f t="shared" si="2"/>
        <v>129</v>
      </c>
      <c r="B134" s="10"/>
      <c r="C134" s="3" t="s">
        <v>19</v>
      </c>
      <c r="E134" s="2">
        <v>520000</v>
      </c>
      <c r="F134" s="11"/>
      <c r="G134" s="11">
        <f t="shared" si="3"/>
        <v>520000</v>
      </c>
      <c r="L134" s="2"/>
    </row>
    <row r="135" spans="1:12" x14ac:dyDescent="0.2">
      <c r="A135" s="12">
        <f t="shared" si="2"/>
        <v>130</v>
      </c>
      <c r="B135" s="10"/>
      <c r="C135" s="3" t="s">
        <v>9</v>
      </c>
      <c r="E135" s="2">
        <v>130000</v>
      </c>
      <c r="F135" s="11"/>
      <c r="G135" s="11">
        <f t="shared" si="3"/>
        <v>130000</v>
      </c>
      <c r="L135" s="2"/>
    </row>
    <row r="136" spans="1:12" x14ac:dyDescent="0.2">
      <c r="A136" s="12">
        <f t="shared" ref="A136:A199" si="4">A135+1</f>
        <v>131</v>
      </c>
      <c r="B136" s="10"/>
      <c r="C136" s="3" t="s">
        <v>9</v>
      </c>
      <c r="E136" s="2">
        <v>300000</v>
      </c>
      <c r="F136" s="11"/>
      <c r="G136" s="11">
        <f t="shared" si="3"/>
        <v>300000</v>
      </c>
      <c r="L136" s="2"/>
    </row>
    <row r="137" spans="1:12" x14ac:dyDescent="0.2">
      <c r="A137" s="12">
        <f t="shared" si="4"/>
        <v>132</v>
      </c>
      <c r="B137" s="10"/>
      <c r="C137" s="3" t="s">
        <v>10</v>
      </c>
      <c r="E137" s="2">
        <v>160000</v>
      </c>
      <c r="F137" s="11"/>
      <c r="G137" s="11">
        <f t="shared" si="3"/>
        <v>160000</v>
      </c>
      <c r="L137" s="2"/>
    </row>
    <row r="138" spans="1:12" x14ac:dyDescent="0.2">
      <c r="A138" s="12">
        <f t="shared" si="4"/>
        <v>133</v>
      </c>
      <c r="B138" s="10"/>
      <c r="C138" s="3" t="s">
        <v>20</v>
      </c>
      <c r="E138" s="2">
        <v>65000</v>
      </c>
      <c r="F138" s="11"/>
      <c r="G138" s="11">
        <f t="shared" si="3"/>
        <v>65000</v>
      </c>
      <c r="L138" s="2"/>
    </row>
    <row r="139" spans="1:12" x14ac:dyDescent="0.2">
      <c r="A139" s="12">
        <f t="shared" si="4"/>
        <v>134</v>
      </c>
      <c r="B139" s="10"/>
      <c r="C139" s="3" t="s">
        <v>9</v>
      </c>
      <c r="E139" s="2">
        <v>210000</v>
      </c>
      <c r="F139" s="11"/>
      <c r="G139" s="11">
        <f t="shared" si="3"/>
        <v>210000</v>
      </c>
      <c r="L139" s="2"/>
    </row>
    <row r="140" spans="1:12" x14ac:dyDescent="0.2">
      <c r="A140" s="12">
        <f t="shared" si="4"/>
        <v>135</v>
      </c>
      <c r="B140" s="10"/>
      <c r="C140" s="3" t="s">
        <v>9</v>
      </c>
      <c r="E140" s="2">
        <v>200000</v>
      </c>
      <c r="F140" s="11"/>
      <c r="G140" s="11">
        <f t="shared" si="3"/>
        <v>200000</v>
      </c>
      <c r="L140" s="2"/>
    </row>
    <row r="141" spans="1:12" x14ac:dyDescent="0.2">
      <c r="A141" s="12">
        <f t="shared" si="4"/>
        <v>136</v>
      </c>
      <c r="B141" s="10"/>
      <c r="C141" s="3" t="s">
        <v>10</v>
      </c>
      <c r="E141" s="2">
        <v>325000</v>
      </c>
      <c r="F141" s="11"/>
      <c r="G141" s="11">
        <f t="shared" si="3"/>
        <v>325000</v>
      </c>
      <c r="L141" s="2"/>
    </row>
    <row r="142" spans="1:12" x14ac:dyDescent="0.2">
      <c r="A142" s="12">
        <f t="shared" si="4"/>
        <v>137</v>
      </c>
      <c r="B142" s="10"/>
      <c r="C142" s="3" t="s">
        <v>9</v>
      </c>
      <c r="E142" s="2">
        <v>130000</v>
      </c>
      <c r="F142" s="11"/>
      <c r="G142" s="11">
        <f t="shared" si="3"/>
        <v>130000</v>
      </c>
      <c r="L142" s="2"/>
    </row>
    <row r="143" spans="1:12" x14ac:dyDescent="0.2">
      <c r="A143" s="12">
        <f t="shared" si="4"/>
        <v>138</v>
      </c>
      <c r="B143" s="10"/>
      <c r="C143" s="3" t="s">
        <v>9</v>
      </c>
      <c r="E143" s="2">
        <v>130000</v>
      </c>
      <c r="F143" s="11"/>
      <c r="G143" s="11">
        <f t="shared" si="3"/>
        <v>130000</v>
      </c>
      <c r="L143" s="2"/>
    </row>
    <row r="144" spans="1:12" x14ac:dyDescent="0.2">
      <c r="A144" s="12">
        <f t="shared" si="4"/>
        <v>139</v>
      </c>
      <c r="B144" s="10"/>
      <c r="C144" s="3" t="s">
        <v>9</v>
      </c>
      <c r="E144" s="2">
        <v>160000</v>
      </c>
      <c r="F144" s="11"/>
      <c r="G144" s="11">
        <f t="shared" si="3"/>
        <v>160000</v>
      </c>
      <c r="L144" s="2"/>
    </row>
    <row r="145" spans="1:12" x14ac:dyDescent="0.2">
      <c r="A145" s="12">
        <f t="shared" si="4"/>
        <v>140</v>
      </c>
      <c r="B145" s="10"/>
      <c r="C145" s="3" t="s">
        <v>21</v>
      </c>
      <c r="E145" s="2">
        <v>320000</v>
      </c>
      <c r="F145" s="11"/>
      <c r="G145" s="11">
        <f t="shared" si="3"/>
        <v>320000</v>
      </c>
      <c r="L145" s="2"/>
    </row>
    <row r="146" spans="1:12" x14ac:dyDescent="0.2">
      <c r="A146" s="12">
        <f t="shared" si="4"/>
        <v>141</v>
      </c>
      <c r="B146" s="10"/>
      <c r="C146" s="3" t="s">
        <v>13</v>
      </c>
      <c r="D146" s="2">
        <v>3000000</v>
      </c>
      <c r="E146" s="2">
        <v>290000</v>
      </c>
      <c r="F146" s="11"/>
      <c r="G146" s="11">
        <f t="shared" si="3"/>
        <v>3290000</v>
      </c>
      <c r="L146" s="2"/>
    </row>
    <row r="147" spans="1:12" x14ac:dyDescent="0.2">
      <c r="A147" s="12">
        <f t="shared" si="4"/>
        <v>142</v>
      </c>
      <c r="B147" s="10"/>
      <c r="C147" s="3" t="s">
        <v>9</v>
      </c>
      <c r="E147" s="2">
        <v>380000</v>
      </c>
      <c r="F147" s="11"/>
      <c r="G147" s="11">
        <f t="shared" si="3"/>
        <v>380000</v>
      </c>
      <c r="L147" s="2"/>
    </row>
    <row r="148" spans="1:12" x14ac:dyDescent="0.2">
      <c r="A148" s="12">
        <f t="shared" si="4"/>
        <v>143</v>
      </c>
      <c r="B148" s="10"/>
      <c r="C148" s="3" t="s">
        <v>9</v>
      </c>
      <c r="E148" s="2">
        <v>300000</v>
      </c>
      <c r="F148" s="11"/>
      <c r="G148" s="11">
        <f t="shared" si="3"/>
        <v>300000</v>
      </c>
      <c r="L148" s="2"/>
    </row>
    <row r="149" spans="1:12" x14ac:dyDescent="0.2">
      <c r="A149" s="12">
        <f t="shared" si="4"/>
        <v>144</v>
      </c>
      <c r="B149" s="10"/>
      <c r="C149" s="3" t="s">
        <v>22</v>
      </c>
      <c r="E149" s="2">
        <v>225000</v>
      </c>
      <c r="F149" s="11"/>
      <c r="G149" s="11">
        <f t="shared" si="3"/>
        <v>225000</v>
      </c>
      <c r="L149" s="2"/>
    </row>
    <row r="150" spans="1:12" x14ac:dyDescent="0.2">
      <c r="A150" s="12">
        <f t="shared" si="4"/>
        <v>145</v>
      </c>
      <c r="B150" s="10"/>
      <c r="C150" s="3" t="s">
        <v>9</v>
      </c>
      <c r="E150" s="2">
        <v>180000</v>
      </c>
      <c r="F150" s="11"/>
      <c r="G150" s="11">
        <f t="shared" si="3"/>
        <v>180000</v>
      </c>
      <c r="L150" s="2"/>
    </row>
    <row r="151" spans="1:12" x14ac:dyDescent="0.2">
      <c r="A151" s="12">
        <f t="shared" si="4"/>
        <v>146</v>
      </c>
      <c r="B151" s="10"/>
      <c r="C151" s="3" t="s">
        <v>9</v>
      </c>
      <c r="E151" s="2">
        <v>120000</v>
      </c>
      <c r="F151" s="11"/>
      <c r="G151" s="11">
        <f t="shared" si="3"/>
        <v>120000</v>
      </c>
      <c r="L151" s="2"/>
    </row>
    <row r="152" spans="1:12" x14ac:dyDescent="0.2">
      <c r="A152" s="12">
        <f t="shared" si="4"/>
        <v>147</v>
      </c>
      <c r="B152" s="10"/>
      <c r="C152" s="3" t="s">
        <v>9</v>
      </c>
      <c r="E152" s="2">
        <v>260000</v>
      </c>
      <c r="F152" s="11"/>
      <c r="G152" s="11">
        <f t="shared" ref="G152:G216" si="5">D152+E152+F152</f>
        <v>260000</v>
      </c>
      <c r="L152" s="2"/>
    </row>
    <row r="153" spans="1:12" x14ac:dyDescent="0.2">
      <c r="A153" s="12">
        <f t="shared" si="4"/>
        <v>148</v>
      </c>
      <c r="B153" s="10"/>
      <c r="C153" s="3" t="s">
        <v>9</v>
      </c>
      <c r="E153" s="2">
        <v>200000</v>
      </c>
      <c r="F153" s="11"/>
      <c r="G153" s="11">
        <f t="shared" si="5"/>
        <v>200000</v>
      </c>
      <c r="L153" s="2"/>
    </row>
    <row r="154" spans="1:12" x14ac:dyDescent="0.2">
      <c r="A154" s="12">
        <f t="shared" si="4"/>
        <v>149</v>
      </c>
      <c r="B154" s="10"/>
      <c r="C154" s="3" t="s">
        <v>11</v>
      </c>
      <c r="E154" s="2">
        <v>880000</v>
      </c>
      <c r="F154" s="11"/>
      <c r="G154" s="11">
        <f t="shared" si="5"/>
        <v>880000</v>
      </c>
      <c r="L154" s="2"/>
    </row>
    <row r="155" spans="1:12" x14ac:dyDescent="0.2">
      <c r="A155" s="12">
        <f t="shared" si="4"/>
        <v>150</v>
      </c>
      <c r="B155" s="10"/>
      <c r="C155" s="3" t="s">
        <v>9</v>
      </c>
      <c r="E155" s="2">
        <v>130000</v>
      </c>
      <c r="F155" s="11"/>
      <c r="G155" s="11">
        <f t="shared" si="5"/>
        <v>130000</v>
      </c>
      <c r="L155" s="2"/>
    </row>
    <row r="156" spans="1:12" x14ac:dyDescent="0.2">
      <c r="A156" s="12">
        <f t="shared" si="4"/>
        <v>151</v>
      </c>
      <c r="B156" s="10"/>
      <c r="C156" s="3" t="s">
        <v>9</v>
      </c>
      <c r="E156" s="2">
        <v>280000</v>
      </c>
      <c r="F156" s="11"/>
      <c r="G156" s="11">
        <f t="shared" si="5"/>
        <v>280000</v>
      </c>
      <c r="L156" s="2"/>
    </row>
    <row r="157" spans="1:12" x14ac:dyDescent="0.2">
      <c r="A157" s="12">
        <f t="shared" si="4"/>
        <v>152</v>
      </c>
      <c r="B157" s="10"/>
      <c r="C157" s="3" t="s">
        <v>9</v>
      </c>
      <c r="E157" s="2">
        <v>340000</v>
      </c>
      <c r="F157" s="11"/>
      <c r="G157" s="11">
        <f t="shared" si="5"/>
        <v>340000</v>
      </c>
      <c r="L157" s="2"/>
    </row>
    <row r="158" spans="1:12" x14ac:dyDescent="0.2">
      <c r="A158" s="12">
        <f t="shared" si="4"/>
        <v>153</v>
      </c>
      <c r="B158" s="10"/>
      <c r="C158" s="3" t="s">
        <v>9</v>
      </c>
      <c r="E158" s="2">
        <v>120000</v>
      </c>
      <c r="F158" s="11"/>
      <c r="G158" s="11">
        <f t="shared" si="5"/>
        <v>120000</v>
      </c>
      <c r="L158" s="2"/>
    </row>
    <row r="159" spans="1:12" x14ac:dyDescent="0.2">
      <c r="A159" s="12">
        <f t="shared" si="4"/>
        <v>154</v>
      </c>
      <c r="B159" s="10"/>
      <c r="C159" s="3" t="s">
        <v>9</v>
      </c>
      <c r="E159" s="2">
        <v>160000</v>
      </c>
      <c r="F159" s="11"/>
      <c r="G159" s="11">
        <f t="shared" si="5"/>
        <v>160000</v>
      </c>
      <c r="L159" s="2"/>
    </row>
    <row r="160" spans="1:12" x14ac:dyDescent="0.2">
      <c r="A160" s="12">
        <f t="shared" si="4"/>
        <v>155</v>
      </c>
      <c r="B160" s="10"/>
      <c r="C160" s="3" t="s">
        <v>11</v>
      </c>
      <c r="E160" s="2">
        <v>290000</v>
      </c>
      <c r="F160" s="11"/>
      <c r="G160" s="11">
        <f t="shared" si="5"/>
        <v>290000</v>
      </c>
      <c r="L160" s="2"/>
    </row>
    <row r="161" spans="1:12" x14ac:dyDescent="0.2">
      <c r="A161" s="12">
        <f t="shared" si="4"/>
        <v>156</v>
      </c>
      <c r="B161" s="10"/>
      <c r="C161" s="3" t="s">
        <v>9</v>
      </c>
      <c r="E161" s="2">
        <v>130000</v>
      </c>
      <c r="F161" s="11"/>
      <c r="G161" s="11">
        <f t="shared" si="5"/>
        <v>130000</v>
      </c>
      <c r="L161" s="2"/>
    </row>
    <row r="162" spans="1:12" x14ac:dyDescent="0.2">
      <c r="A162" s="12">
        <f t="shared" si="4"/>
        <v>157</v>
      </c>
      <c r="B162" s="10"/>
      <c r="C162" s="3" t="s">
        <v>13</v>
      </c>
      <c r="D162" s="2">
        <v>1800000</v>
      </c>
      <c r="E162" s="2">
        <v>220000</v>
      </c>
      <c r="F162" s="11"/>
      <c r="G162" s="11">
        <f t="shared" si="5"/>
        <v>2020000</v>
      </c>
      <c r="L162" s="2"/>
    </row>
    <row r="163" spans="1:12" x14ac:dyDescent="0.2">
      <c r="A163" s="12">
        <f t="shared" si="4"/>
        <v>158</v>
      </c>
      <c r="B163" s="10"/>
      <c r="C163" s="3" t="s">
        <v>9</v>
      </c>
      <c r="E163" s="2">
        <v>160000</v>
      </c>
      <c r="F163" s="11"/>
      <c r="G163" s="11">
        <f t="shared" si="5"/>
        <v>160000</v>
      </c>
      <c r="L163" s="2"/>
    </row>
    <row r="164" spans="1:12" x14ac:dyDescent="0.2">
      <c r="A164" s="12">
        <f t="shared" si="4"/>
        <v>159</v>
      </c>
      <c r="B164" s="10"/>
      <c r="C164" s="3" t="s">
        <v>11</v>
      </c>
      <c r="E164" s="2">
        <v>520000</v>
      </c>
      <c r="F164" s="11"/>
      <c r="G164" s="11">
        <f t="shared" si="5"/>
        <v>520000</v>
      </c>
      <c r="L164" s="2"/>
    </row>
    <row r="165" spans="1:12" x14ac:dyDescent="0.2">
      <c r="A165" s="12">
        <f t="shared" si="4"/>
        <v>160</v>
      </c>
      <c r="B165" s="10"/>
      <c r="C165" s="3" t="s">
        <v>9</v>
      </c>
      <c r="E165" s="2">
        <v>130000</v>
      </c>
      <c r="F165" s="11"/>
      <c r="G165" s="11">
        <f t="shared" si="5"/>
        <v>130000</v>
      </c>
      <c r="L165" s="2"/>
    </row>
    <row r="166" spans="1:12" x14ac:dyDescent="0.2">
      <c r="A166" s="12">
        <f t="shared" si="4"/>
        <v>161</v>
      </c>
      <c r="B166" s="10"/>
      <c r="C166" s="3" t="s">
        <v>9</v>
      </c>
      <c r="E166" s="2">
        <v>200000</v>
      </c>
      <c r="F166" s="11"/>
      <c r="G166" s="11">
        <f t="shared" si="5"/>
        <v>200000</v>
      </c>
      <c r="L166" s="2"/>
    </row>
    <row r="167" spans="1:12" x14ac:dyDescent="0.2">
      <c r="A167" s="12">
        <f t="shared" si="4"/>
        <v>162</v>
      </c>
      <c r="B167" s="10"/>
      <c r="C167" s="3" t="s">
        <v>9</v>
      </c>
      <c r="E167" s="2">
        <v>120000</v>
      </c>
      <c r="F167" s="11"/>
      <c r="G167" s="11">
        <f t="shared" si="5"/>
        <v>120000</v>
      </c>
      <c r="L167" s="2"/>
    </row>
    <row r="168" spans="1:12" x14ac:dyDescent="0.2">
      <c r="A168" s="12">
        <f t="shared" si="4"/>
        <v>163</v>
      </c>
      <c r="B168" s="10"/>
      <c r="C168" s="3" t="s">
        <v>9</v>
      </c>
      <c r="E168" s="2">
        <v>120000</v>
      </c>
      <c r="F168" s="11"/>
      <c r="G168" s="11">
        <f t="shared" si="5"/>
        <v>120000</v>
      </c>
      <c r="L168" s="2"/>
    </row>
    <row r="169" spans="1:12" x14ac:dyDescent="0.2">
      <c r="A169" s="12">
        <f t="shared" si="4"/>
        <v>164</v>
      </c>
      <c r="B169" s="10"/>
      <c r="C169" s="3" t="s">
        <v>9</v>
      </c>
      <c r="E169" s="2">
        <v>290000</v>
      </c>
      <c r="F169" s="11"/>
      <c r="G169" s="11">
        <f t="shared" si="5"/>
        <v>290000</v>
      </c>
      <c r="L169" s="2"/>
    </row>
    <row r="170" spans="1:12" x14ac:dyDescent="0.2">
      <c r="A170" s="12">
        <f t="shared" si="4"/>
        <v>165</v>
      </c>
      <c r="B170" s="10"/>
      <c r="C170" s="3" t="s">
        <v>9</v>
      </c>
      <c r="E170" s="2">
        <v>180000</v>
      </c>
      <c r="F170" s="11"/>
      <c r="G170" s="11">
        <f t="shared" si="5"/>
        <v>180000</v>
      </c>
      <c r="L170" s="2"/>
    </row>
    <row r="171" spans="1:12" x14ac:dyDescent="0.2">
      <c r="A171" s="12">
        <f t="shared" si="4"/>
        <v>166</v>
      </c>
      <c r="B171" s="10"/>
      <c r="C171" s="3" t="s">
        <v>17</v>
      </c>
      <c r="E171" s="2">
        <v>880000</v>
      </c>
      <c r="F171" s="11"/>
      <c r="G171" s="11">
        <f t="shared" si="5"/>
        <v>880000</v>
      </c>
      <c r="L171" s="2"/>
    </row>
    <row r="172" spans="1:12" x14ac:dyDescent="0.2">
      <c r="A172" s="12">
        <f t="shared" si="4"/>
        <v>167</v>
      </c>
      <c r="B172" s="10"/>
      <c r="C172" s="3" t="s">
        <v>9</v>
      </c>
      <c r="E172" s="2">
        <v>290000</v>
      </c>
      <c r="F172" s="11"/>
      <c r="G172" s="11">
        <f t="shared" si="5"/>
        <v>290000</v>
      </c>
      <c r="L172" s="2"/>
    </row>
    <row r="173" spans="1:12" x14ac:dyDescent="0.2">
      <c r="A173" s="12">
        <f t="shared" si="4"/>
        <v>168</v>
      </c>
      <c r="B173" s="10"/>
      <c r="C173" s="3" t="s">
        <v>9</v>
      </c>
      <c r="E173" s="2">
        <v>190000</v>
      </c>
      <c r="F173" s="11"/>
      <c r="G173" s="11">
        <f t="shared" si="5"/>
        <v>190000</v>
      </c>
      <c r="L173" s="2"/>
    </row>
    <row r="174" spans="1:12" x14ac:dyDescent="0.2">
      <c r="A174" s="12">
        <f t="shared" si="4"/>
        <v>169</v>
      </c>
      <c r="B174" s="10"/>
      <c r="C174" s="3" t="s">
        <v>9</v>
      </c>
      <c r="E174" s="2">
        <v>260000</v>
      </c>
      <c r="F174" s="11"/>
      <c r="G174" s="11">
        <f t="shared" si="5"/>
        <v>260000</v>
      </c>
      <c r="L174" s="2"/>
    </row>
    <row r="175" spans="1:12" x14ac:dyDescent="0.2">
      <c r="A175" s="12">
        <f t="shared" si="4"/>
        <v>170</v>
      </c>
      <c r="B175" s="10"/>
      <c r="C175" s="3" t="s">
        <v>9</v>
      </c>
      <c r="E175" s="2">
        <v>150000</v>
      </c>
      <c r="F175" s="11"/>
      <c r="G175" s="11">
        <f t="shared" si="5"/>
        <v>150000</v>
      </c>
      <c r="L175" s="2"/>
    </row>
    <row r="176" spans="1:12" x14ac:dyDescent="0.2">
      <c r="A176" s="12">
        <f t="shared" si="4"/>
        <v>171</v>
      </c>
      <c r="B176" s="10"/>
      <c r="C176" s="3" t="s">
        <v>9</v>
      </c>
      <c r="E176" s="2">
        <v>200000</v>
      </c>
      <c r="F176" s="11"/>
      <c r="G176" s="11">
        <f t="shared" si="5"/>
        <v>200000</v>
      </c>
      <c r="L176" s="2"/>
    </row>
    <row r="177" spans="1:12" x14ac:dyDescent="0.2">
      <c r="A177" s="12">
        <f t="shared" si="4"/>
        <v>172</v>
      </c>
      <c r="B177" s="10"/>
      <c r="C177" s="3" t="s">
        <v>13</v>
      </c>
      <c r="D177" s="2">
        <v>1000000</v>
      </c>
      <c r="E177" s="2">
        <v>230000</v>
      </c>
      <c r="F177" s="11"/>
      <c r="G177" s="11">
        <f t="shared" si="5"/>
        <v>1230000</v>
      </c>
      <c r="L177" s="2"/>
    </row>
    <row r="178" spans="1:12" x14ac:dyDescent="0.2">
      <c r="A178" s="12">
        <f t="shared" si="4"/>
        <v>173</v>
      </c>
      <c r="B178" s="10"/>
      <c r="C178" s="3" t="s">
        <v>9</v>
      </c>
      <c r="E178" s="2">
        <v>390000</v>
      </c>
      <c r="F178" s="11"/>
      <c r="G178" s="11">
        <f t="shared" si="5"/>
        <v>390000</v>
      </c>
      <c r="L178" s="2"/>
    </row>
    <row r="179" spans="1:12" x14ac:dyDescent="0.2">
      <c r="A179" s="12">
        <f t="shared" si="4"/>
        <v>174</v>
      </c>
      <c r="B179" s="10"/>
      <c r="C179" s="3" t="s">
        <v>9</v>
      </c>
      <c r="E179" s="2">
        <v>320000</v>
      </c>
      <c r="F179" s="11"/>
      <c r="G179" s="11">
        <f t="shared" si="5"/>
        <v>320000</v>
      </c>
    </row>
    <row r="180" spans="1:12" x14ac:dyDescent="0.2">
      <c r="A180" s="12">
        <f t="shared" si="4"/>
        <v>175</v>
      </c>
      <c r="B180" s="10"/>
      <c r="C180" s="3" t="s">
        <v>9</v>
      </c>
      <c r="D180" s="11"/>
      <c r="E180" s="11">
        <v>280000</v>
      </c>
      <c r="F180" s="11"/>
      <c r="G180" s="11">
        <f t="shared" si="5"/>
        <v>280000</v>
      </c>
      <c r="H180" s="11"/>
    </row>
    <row r="181" spans="1:12" x14ac:dyDescent="0.2">
      <c r="A181" s="12">
        <f t="shared" si="4"/>
        <v>176</v>
      </c>
      <c r="B181" s="10"/>
      <c r="C181" s="3" t="s">
        <v>9</v>
      </c>
      <c r="E181" s="2">
        <v>280000</v>
      </c>
      <c r="F181" s="11"/>
      <c r="G181" s="11">
        <f t="shared" si="5"/>
        <v>280000</v>
      </c>
      <c r="L181" s="2"/>
    </row>
    <row r="182" spans="1:12" x14ac:dyDescent="0.2">
      <c r="A182" s="12">
        <f t="shared" si="4"/>
        <v>177</v>
      </c>
      <c r="B182" s="10"/>
      <c r="C182" s="3" t="s">
        <v>9</v>
      </c>
      <c r="E182" s="2">
        <v>160000</v>
      </c>
      <c r="F182" s="11"/>
      <c r="G182" s="11">
        <f t="shared" si="5"/>
        <v>160000</v>
      </c>
      <c r="L182" s="2"/>
    </row>
    <row r="183" spans="1:12" x14ac:dyDescent="0.2">
      <c r="A183" s="12">
        <f t="shared" si="4"/>
        <v>178</v>
      </c>
      <c r="B183" s="10"/>
      <c r="C183" s="3" t="s">
        <v>9</v>
      </c>
      <c r="E183" s="2">
        <v>180000</v>
      </c>
      <c r="F183" s="11"/>
      <c r="G183" s="11">
        <f t="shared" si="5"/>
        <v>180000</v>
      </c>
      <c r="L183" s="2"/>
    </row>
    <row r="184" spans="1:12" x14ac:dyDescent="0.2">
      <c r="A184" s="12">
        <f t="shared" si="4"/>
        <v>179</v>
      </c>
      <c r="B184" s="10"/>
      <c r="C184" s="3" t="s">
        <v>9</v>
      </c>
      <c r="E184" s="2">
        <v>200000</v>
      </c>
      <c r="F184" s="11"/>
      <c r="G184" s="11">
        <f t="shared" si="5"/>
        <v>200000</v>
      </c>
      <c r="L184" s="2"/>
    </row>
    <row r="185" spans="1:12" x14ac:dyDescent="0.2">
      <c r="A185" s="12">
        <f t="shared" si="4"/>
        <v>180</v>
      </c>
      <c r="B185" s="10"/>
      <c r="C185" s="3" t="s">
        <v>9</v>
      </c>
      <c r="E185" s="2">
        <v>120000</v>
      </c>
      <c r="F185" s="11"/>
      <c r="G185" s="11">
        <f t="shared" si="5"/>
        <v>120000</v>
      </c>
      <c r="L185" s="2"/>
    </row>
    <row r="186" spans="1:12" x14ac:dyDescent="0.2">
      <c r="A186" s="12">
        <f t="shared" si="4"/>
        <v>181</v>
      </c>
      <c r="B186" s="10"/>
      <c r="C186" s="3" t="s">
        <v>23</v>
      </c>
      <c r="E186" s="2">
        <v>80000</v>
      </c>
      <c r="F186" s="11"/>
      <c r="G186" s="11">
        <f t="shared" si="5"/>
        <v>80000</v>
      </c>
      <c r="L186" s="2"/>
    </row>
    <row r="187" spans="1:12" x14ac:dyDescent="0.2">
      <c r="A187" s="12">
        <f t="shared" si="4"/>
        <v>182</v>
      </c>
      <c r="B187" s="10"/>
      <c r="C187" s="3" t="s">
        <v>23</v>
      </c>
      <c r="E187" s="2">
        <v>98000</v>
      </c>
      <c r="F187" s="11"/>
      <c r="G187" s="11">
        <f t="shared" si="5"/>
        <v>98000</v>
      </c>
      <c r="L187" s="2"/>
    </row>
    <row r="188" spans="1:12" x14ac:dyDescent="0.2">
      <c r="A188" s="12">
        <f t="shared" si="4"/>
        <v>183</v>
      </c>
      <c r="B188" s="10"/>
      <c r="C188" s="3" t="s">
        <v>9</v>
      </c>
      <c r="E188" s="2">
        <v>200000</v>
      </c>
      <c r="F188" s="11"/>
      <c r="G188" s="11">
        <f t="shared" si="5"/>
        <v>200000</v>
      </c>
      <c r="L188" s="2"/>
    </row>
    <row r="189" spans="1:12" x14ac:dyDescent="0.2">
      <c r="A189" s="12">
        <f t="shared" si="4"/>
        <v>184</v>
      </c>
      <c r="B189" s="10"/>
      <c r="C189" s="3" t="s">
        <v>9</v>
      </c>
      <c r="E189" s="2">
        <v>120000</v>
      </c>
      <c r="F189" s="11"/>
      <c r="G189" s="11">
        <f t="shared" si="5"/>
        <v>120000</v>
      </c>
      <c r="L189" s="2"/>
    </row>
    <row r="190" spans="1:12" x14ac:dyDescent="0.2">
      <c r="A190" s="12">
        <f t="shared" si="4"/>
        <v>185</v>
      </c>
      <c r="B190" s="10"/>
      <c r="C190" s="3" t="s">
        <v>13</v>
      </c>
      <c r="D190" s="2">
        <v>500000</v>
      </c>
      <c r="E190" s="2">
        <v>130000</v>
      </c>
      <c r="F190" s="11"/>
      <c r="G190" s="11">
        <f t="shared" si="5"/>
        <v>630000</v>
      </c>
      <c r="L190" s="2"/>
    </row>
    <row r="191" spans="1:12" x14ac:dyDescent="0.2">
      <c r="A191" s="12">
        <f t="shared" si="4"/>
        <v>186</v>
      </c>
      <c r="B191" s="10"/>
      <c r="C191" s="3" t="s">
        <v>16</v>
      </c>
      <c r="E191" s="2">
        <v>400000</v>
      </c>
      <c r="F191" s="11"/>
      <c r="G191" s="11">
        <f t="shared" si="5"/>
        <v>400000</v>
      </c>
      <c r="L191" s="2"/>
    </row>
    <row r="192" spans="1:12" x14ac:dyDescent="0.2">
      <c r="A192" s="12">
        <f t="shared" si="4"/>
        <v>187</v>
      </c>
      <c r="B192" s="10"/>
      <c r="C192" s="3" t="s">
        <v>11</v>
      </c>
      <c r="E192" s="2">
        <v>180000</v>
      </c>
      <c r="F192" s="11"/>
      <c r="G192" s="11">
        <f t="shared" si="5"/>
        <v>180000</v>
      </c>
      <c r="L192" s="2"/>
    </row>
    <row r="193" spans="1:12" x14ac:dyDescent="0.2">
      <c r="A193" s="12">
        <f t="shared" si="4"/>
        <v>188</v>
      </c>
      <c r="B193" s="10"/>
      <c r="C193" s="3" t="s">
        <v>10</v>
      </c>
      <c r="E193" s="2">
        <v>340000</v>
      </c>
      <c r="F193" s="11"/>
      <c r="G193" s="11">
        <f t="shared" si="5"/>
        <v>340000</v>
      </c>
      <c r="L193" s="2"/>
    </row>
    <row r="194" spans="1:12" x14ac:dyDescent="0.2">
      <c r="A194" s="12">
        <f t="shared" si="4"/>
        <v>189</v>
      </c>
      <c r="B194" s="10"/>
      <c r="C194" s="3" t="s">
        <v>13</v>
      </c>
      <c r="D194" s="2">
        <v>500000</v>
      </c>
      <c r="E194" s="2">
        <v>290000</v>
      </c>
      <c r="F194" s="11"/>
      <c r="G194" s="11">
        <f t="shared" si="5"/>
        <v>790000</v>
      </c>
      <c r="L194" s="2"/>
    </row>
    <row r="195" spans="1:12" x14ac:dyDescent="0.2">
      <c r="A195" s="12">
        <f t="shared" si="4"/>
        <v>190</v>
      </c>
      <c r="B195" s="10"/>
      <c r="C195" s="3" t="s">
        <v>11</v>
      </c>
      <c r="E195" s="2">
        <v>1080000</v>
      </c>
      <c r="F195" s="11"/>
      <c r="G195" s="11">
        <f t="shared" si="5"/>
        <v>1080000</v>
      </c>
      <c r="L195" s="2"/>
    </row>
    <row r="196" spans="1:12" x14ac:dyDescent="0.2">
      <c r="A196" s="12">
        <f t="shared" si="4"/>
        <v>191</v>
      </c>
      <c r="B196" s="10"/>
      <c r="C196" s="3" t="s">
        <v>11</v>
      </c>
      <c r="E196" s="2">
        <v>200000</v>
      </c>
      <c r="F196" s="11"/>
      <c r="G196" s="11">
        <f t="shared" si="5"/>
        <v>200000</v>
      </c>
      <c r="L196" s="2"/>
    </row>
    <row r="197" spans="1:12" x14ac:dyDescent="0.2">
      <c r="A197" s="12">
        <f t="shared" si="4"/>
        <v>192</v>
      </c>
      <c r="B197" s="10"/>
      <c r="C197" s="3" t="s">
        <v>9</v>
      </c>
      <c r="E197" s="2">
        <v>200000</v>
      </c>
      <c r="F197" s="11"/>
      <c r="G197" s="11">
        <f t="shared" si="5"/>
        <v>200000</v>
      </c>
      <c r="L197" s="2"/>
    </row>
    <row r="198" spans="1:12" x14ac:dyDescent="0.2">
      <c r="A198" s="12">
        <f t="shared" si="4"/>
        <v>193</v>
      </c>
      <c r="B198" s="10"/>
      <c r="C198" s="3" t="s">
        <v>9</v>
      </c>
      <c r="E198" s="2">
        <v>120000</v>
      </c>
      <c r="F198" s="11"/>
      <c r="G198" s="11">
        <f t="shared" si="5"/>
        <v>120000</v>
      </c>
      <c r="L198" s="2"/>
    </row>
    <row r="199" spans="1:12" x14ac:dyDescent="0.2">
      <c r="A199" s="12">
        <f t="shared" si="4"/>
        <v>194</v>
      </c>
      <c r="B199" s="10"/>
      <c r="C199" s="3" t="s">
        <v>13</v>
      </c>
      <c r="E199" s="2">
        <v>260000</v>
      </c>
      <c r="F199" s="11"/>
      <c r="G199" s="11">
        <f t="shared" si="5"/>
        <v>260000</v>
      </c>
      <c r="L199" s="2"/>
    </row>
    <row r="200" spans="1:12" x14ac:dyDescent="0.2">
      <c r="A200" s="12">
        <f t="shared" ref="A200:A247" si="6">A199+1</f>
        <v>195</v>
      </c>
      <c r="B200" s="10"/>
      <c r="C200" s="3" t="s">
        <v>9</v>
      </c>
      <c r="E200" s="2">
        <v>240000</v>
      </c>
      <c r="F200" s="11"/>
      <c r="G200" s="11">
        <f t="shared" si="5"/>
        <v>240000</v>
      </c>
      <c r="L200" s="2"/>
    </row>
    <row r="201" spans="1:12" x14ac:dyDescent="0.2">
      <c r="A201" s="12">
        <f t="shared" si="6"/>
        <v>196</v>
      </c>
      <c r="B201" s="10"/>
      <c r="C201" s="3" t="s">
        <v>11</v>
      </c>
      <c r="E201" s="2">
        <v>280000</v>
      </c>
      <c r="F201" s="11"/>
      <c r="G201" s="11">
        <f t="shared" si="5"/>
        <v>280000</v>
      </c>
      <c r="L201" s="2"/>
    </row>
    <row r="202" spans="1:12" x14ac:dyDescent="0.2">
      <c r="A202" s="12">
        <f t="shared" si="6"/>
        <v>197</v>
      </c>
      <c r="B202" s="10"/>
      <c r="C202" s="3" t="s">
        <v>11</v>
      </c>
      <c r="E202" s="2">
        <v>710000</v>
      </c>
      <c r="F202" s="11"/>
      <c r="G202" s="11">
        <f t="shared" si="5"/>
        <v>710000</v>
      </c>
      <c r="L202" s="2"/>
    </row>
    <row r="203" spans="1:12" x14ac:dyDescent="0.2">
      <c r="A203" s="12">
        <f t="shared" si="6"/>
        <v>198</v>
      </c>
      <c r="B203" s="10"/>
      <c r="C203" s="3" t="s">
        <v>10</v>
      </c>
      <c r="E203" s="2">
        <v>250000</v>
      </c>
      <c r="F203" s="11"/>
      <c r="G203" s="11">
        <f t="shared" si="5"/>
        <v>250000</v>
      </c>
      <c r="L203" s="2"/>
    </row>
    <row r="204" spans="1:12" x14ac:dyDescent="0.2">
      <c r="A204" s="12">
        <f t="shared" si="6"/>
        <v>199</v>
      </c>
      <c r="B204" s="10"/>
      <c r="C204" s="3" t="s">
        <v>11</v>
      </c>
      <c r="E204" s="2">
        <v>400000</v>
      </c>
      <c r="F204" s="11"/>
      <c r="G204" s="11">
        <f t="shared" si="5"/>
        <v>400000</v>
      </c>
      <c r="L204" s="2"/>
    </row>
    <row r="205" spans="1:12" x14ac:dyDescent="0.2">
      <c r="A205" s="12">
        <f t="shared" si="6"/>
        <v>200</v>
      </c>
      <c r="B205" s="10"/>
      <c r="C205" s="3" t="s">
        <v>14</v>
      </c>
      <c r="E205" s="2">
        <v>530000</v>
      </c>
      <c r="F205" s="11"/>
      <c r="G205" s="11">
        <f t="shared" si="5"/>
        <v>530000</v>
      </c>
      <c r="L205" s="2"/>
    </row>
    <row r="206" spans="1:12" x14ac:dyDescent="0.2">
      <c r="A206" s="12">
        <f t="shared" si="6"/>
        <v>201</v>
      </c>
      <c r="B206" s="10"/>
      <c r="C206" s="3" t="s">
        <v>13</v>
      </c>
      <c r="D206" s="2">
        <v>1000000</v>
      </c>
      <c r="E206" s="2">
        <v>225000</v>
      </c>
      <c r="F206" s="11"/>
      <c r="G206" s="11">
        <f t="shared" si="5"/>
        <v>1225000</v>
      </c>
      <c r="L206" s="2"/>
    </row>
    <row r="207" spans="1:12" x14ac:dyDescent="0.2">
      <c r="A207" s="12">
        <f t="shared" si="6"/>
        <v>202</v>
      </c>
      <c r="B207" s="10"/>
      <c r="C207" s="3" t="s">
        <v>10</v>
      </c>
      <c r="E207" s="2">
        <v>250000</v>
      </c>
      <c r="F207" s="11"/>
      <c r="G207" s="11">
        <f t="shared" si="5"/>
        <v>250000</v>
      </c>
      <c r="L207" s="2"/>
    </row>
    <row r="208" spans="1:12" x14ac:dyDescent="0.2">
      <c r="A208" s="12">
        <f t="shared" si="6"/>
        <v>203</v>
      </c>
      <c r="B208" s="10"/>
      <c r="C208" s="3" t="s">
        <v>13</v>
      </c>
      <c r="D208" s="2">
        <v>500000</v>
      </c>
      <c r="E208" s="2">
        <v>130000</v>
      </c>
      <c r="F208" s="11"/>
      <c r="G208" s="11">
        <f t="shared" si="5"/>
        <v>630000</v>
      </c>
      <c r="L208" s="2"/>
    </row>
    <row r="209" spans="1:12" x14ac:dyDescent="0.2">
      <c r="A209" s="12">
        <f t="shared" si="6"/>
        <v>204</v>
      </c>
      <c r="B209" s="10"/>
      <c r="C209" s="3" t="s">
        <v>11</v>
      </c>
      <c r="E209" s="2">
        <v>460000</v>
      </c>
      <c r="F209" s="11"/>
      <c r="G209" s="11">
        <f t="shared" si="5"/>
        <v>460000</v>
      </c>
      <c r="L209" s="2"/>
    </row>
    <row r="210" spans="1:12" x14ac:dyDescent="0.2">
      <c r="A210" s="12">
        <f t="shared" si="6"/>
        <v>205</v>
      </c>
      <c r="B210" s="10"/>
      <c r="C210" s="3" t="s">
        <v>10</v>
      </c>
      <c r="E210" s="2">
        <v>320000</v>
      </c>
      <c r="F210" s="11"/>
      <c r="G210" s="11">
        <f t="shared" si="5"/>
        <v>320000</v>
      </c>
      <c r="L210" s="2"/>
    </row>
    <row r="211" spans="1:12" x14ac:dyDescent="0.2">
      <c r="A211" s="12">
        <f t="shared" si="6"/>
        <v>206</v>
      </c>
      <c r="B211" s="10"/>
      <c r="C211" s="3" t="s">
        <v>9</v>
      </c>
      <c r="E211" s="2">
        <v>180000</v>
      </c>
      <c r="F211" s="11"/>
      <c r="G211" s="11">
        <f t="shared" si="5"/>
        <v>180000</v>
      </c>
      <c r="L211" s="2"/>
    </row>
    <row r="212" spans="1:12" x14ac:dyDescent="0.2">
      <c r="A212" s="12">
        <f t="shared" si="6"/>
        <v>207</v>
      </c>
      <c r="B212" s="10"/>
      <c r="C212" s="3" t="s">
        <v>9</v>
      </c>
      <c r="E212" s="2">
        <v>320000</v>
      </c>
      <c r="F212" s="11"/>
      <c r="G212" s="11">
        <f t="shared" si="5"/>
        <v>320000</v>
      </c>
      <c r="L212" s="2"/>
    </row>
    <row r="213" spans="1:12" x14ac:dyDescent="0.2">
      <c r="A213" s="12">
        <f t="shared" si="6"/>
        <v>208</v>
      </c>
      <c r="B213" s="10"/>
      <c r="C213" s="3" t="s">
        <v>24</v>
      </c>
      <c r="E213" s="2">
        <v>450000</v>
      </c>
      <c r="F213" s="11"/>
      <c r="G213" s="11">
        <f t="shared" si="5"/>
        <v>450000</v>
      </c>
      <c r="L213" s="2"/>
    </row>
    <row r="214" spans="1:12" x14ac:dyDescent="0.2">
      <c r="A214" s="12">
        <f t="shared" si="6"/>
        <v>209</v>
      </c>
      <c r="B214" s="10"/>
      <c r="C214" s="3" t="s">
        <v>24</v>
      </c>
      <c r="E214" s="2">
        <v>300000</v>
      </c>
      <c r="F214" s="11"/>
      <c r="G214" s="11">
        <f t="shared" si="5"/>
        <v>300000</v>
      </c>
      <c r="L214" s="2"/>
    </row>
    <row r="215" spans="1:12" x14ac:dyDescent="0.2">
      <c r="A215" s="12">
        <f t="shared" si="6"/>
        <v>210</v>
      </c>
      <c r="B215" s="10"/>
      <c r="C215" s="3" t="s">
        <v>24</v>
      </c>
      <c r="E215" s="2">
        <v>300000</v>
      </c>
      <c r="F215" s="11"/>
      <c r="G215" s="11">
        <f t="shared" si="5"/>
        <v>300000</v>
      </c>
      <c r="L215" s="2"/>
    </row>
    <row r="216" spans="1:12" x14ac:dyDescent="0.2">
      <c r="A216" s="12">
        <f t="shared" si="6"/>
        <v>211</v>
      </c>
      <c r="B216" s="10"/>
      <c r="C216" s="3" t="s">
        <v>11</v>
      </c>
      <c r="E216" s="2">
        <v>150000</v>
      </c>
      <c r="F216" s="11"/>
      <c r="G216" s="11">
        <f t="shared" si="5"/>
        <v>150000</v>
      </c>
      <c r="L216" s="2"/>
    </row>
    <row r="217" spans="1:12" x14ac:dyDescent="0.2">
      <c r="A217" s="12">
        <f t="shared" si="6"/>
        <v>212</v>
      </c>
      <c r="B217" s="10"/>
      <c r="C217" s="3" t="s">
        <v>14</v>
      </c>
      <c r="E217" s="2">
        <v>310000</v>
      </c>
      <c r="F217" s="11"/>
      <c r="G217" s="11">
        <f t="shared" ref="G217:G247" si="7">D217+E217+F217</f>
        <v>310000</v>
      </c>
      <c r="L217" s="2"/>
    </row>
    <row r="218" spans="1:12" x14ac:dyDescent="0.2">
      <c r="A218" s="12">
        <f t="shared" si="6"/>
        <v>213</v>
      </c>
      <c r="B218" s="10"/>
      <c r="C218" s="3" t="s">
        <v>24</v>
      </c>
      <c r="E218" s="2">
        <v>630000</v>
      </c>
      <c r="F218" s="11"/>
      <c r="G218" s="11">
        <f t="shared" si="7"/>
        <v>630000</v>
      </c>
      <c r="L218" s="2"/>
    </row>
    <row r="219" spans="1:12" x14ac:dyDescent="0.2">
      <c r="A219" s="12">
        <f t="shared" si="6"/>
        <v>214</v>
      </c>
      <c r="B219" s="10"/>
      <c r="C219" s="3" t="s">
        <v>11</v>
      </c>
      <c r="E219" s="2">
        <v>280000</v>
      </c>
      <c r="F219" s="11"/>
      <c r="G219" s="11">
        <f t="shared" si="7"/>
        <v>280000</v>
      </c>
      <c r="L219" s="2"/>
    </row>
    <row r="220" spans="1:12" x14ac:dyDescent="0.2">
      <c r="A220" s="12">
        <f t="shared" si="6"/>
        <v>215</v>
      </c>
      <c r="B220" s="10"/>
      <c r="C220" s="3" t="s">
        <v>24</v>
      </c>
      <c r="D220" s="2">
        <v>150000</v>
      </c>
      <c r="E220" s="2">
        <v>300000</v>
      </c>
      <c r="F220" s="11"/>
      <c r="G220" s="11">
        <f t="shared" si="7"/>
        <v>450000</v>
      </c>
      <c r="L220" s="2"/>
    </row>
    <row r="221" spans="1:12" x14ac:dyDescent="0.2">
      <c r="A221" s="12">
        <f t="shared" si="6"/>
        <v>216</v>
      </c>
      <c r="B221" s="10"/>
      <c r="C221" s="3" t="s">
        <v>11</v>
      </c>
      <c r="E221" s="2">
        <v>280000</v>
      </c>
      <c r="F221" s="11"/>
      <c r="G221" s="11">
        <f t="shared" si="7"/>
        <v>280000</v>
      </c>
      <c r="L221" s="2"/>
    </row>
    <row r="222" spans="1:12" x14ac:dyDescent="0.2">
      <c r="A222" s="12">
        <f t="shared" si="6"/>
        <v>217</v>
      </c>
      <c r="B222" s="10"/>
      <c r="C222" s="3" t="s">
        <v>11</v>
      </c>
      <c r="E222" s="2">
        <v>300000</v>
      </c>
      <c r="F222" s="11"/>
      <c r="G222" s="11">
        <f t="shared" si="7"/>
        <v>300000</v>
      </c>
      <c r="L222" s="2"/>
    </row>
    <row r="223" spans="1:12" x14ac:dyDescent="0.2">
      <c r="A223" s="12">
        <f t="shared" si="6"/>
        <v>218</v>
      </c>
      <c r="B223" s="10"/>
      <c r="C223" s="3" t="s">
        <v>25</v>
      </c>
      <c r="D223" s="2">
        <v>500000</v>
      </c>
      <c r="E223" s="2">
        <v>730000</v>
      </c>
      <c r="F223" s="11"/>
      <c r="G223" s="11">
        <f t="shared" si="7"/>
        <v>1230000</v>
      </c>
      <c r="L223" s="2"/>
    </row>
    <row r="224" spans="1:12" x14ac:dyDescent="0.2">
      <c r="A224" s="12">
        <f t="shared" si="6"/>
        <v>219</v>
      </c>
      <c r="B224" s="10"/>
      <c r="C224" s="3" t="s">
        <v>11</v>
      </c>
      <c r="E224" s="2">
        <v>280000</v>
      </c>
      <c r="F224" s="11"/>
      <c r="G224" s="11">
        <f t="shared" si="7"/>
        <v>280000</v>
      </c>
      <c r="L224" s="2"/>
    </row>
    <row r="225" spans="1:12" x14ac:dyDescent="0.2">
      <c r="A225" s="12">
        <f t="shared" si="6"/>
        <v>220</v>
      </c>
      <c r="B225" s="10"/>
      <c r="C225" s="3" t="s">
        <v>10</v>
      </c>
      <c r="E225" s="2">
        <v>170000</v>
      </c>
      <c r="F225" s="11"/>
      <c r="G225" s="11">
        <f t="shared" si="7"/>
        <v>170000</v>
      </c>
      <c r="L225" s="2"/>
    </row>
    <row r="226" spans="1:12" x14ac:dyDescent="0.2">
      <c r="A226" s="12">
        <f t="shared" si="6"/>
        <v>221</v>
      </c>
      <c r="B226" s="10"/>
      <c r="C226" s="3" t="s">
        <v>13</v>
      </c>
      <c r="D226" s="2">
        <v>500000</v>
      </c>
      <c r="E226" s="2">
        <v>130000</v>
      </c>
      <c r="F226" s="11"/>
      <c r="G226" s="11">
        <f t="shared" si="7"/>
        <v>630000</v>
      </c>
      <c r="L226" s="2"/>
    </row>
    <row r="227" spans="1:12" x14ac:dyDescent="0.2">
      <c r="A227" s="12">
        <f t="shared" si="6"/>
        <v>222</v>
      </c>
      <c r="B227" s="10"/>
      <c r="C227" s="3" t="s">
        <v>13</v>
      </c>
      <c r="D227" s="2">
        <v>1000000</v>
      </c>
      <c r="E227" s="2">
        <v>175000</v>
      </c>
      <c r="F227" s="11"/>
      <c r="G227" s="11">
        <f t="shared" si="7"/>
        <v>1175000</v>
      </c>
      <c r="L227" s="2"/>
    </row>
    <row r="228" spans="1:12" x14ac:dyDescent="0.2">
      <c r="A228" s="12">
        <f t="shared" si="6"/>
        <v>223</v>
      </c>
      <c r="B228" s="10"/>
      <c r="C228" s="3" t="s">
        <v>11</v>
      </c>
      <c r="E228" s="2">
        <v>280000</v>
      </c>
      <c r="F228" s="11"/>
      <c r="G228" s="11">
        <f t="shared" si="7"/>
        <v>280000</v>
      </c>
      <c r="L228" s="2"/>
    </row>
    <row r="229" spans="1:12" x14ac:dyDescent="0.2">
      <c r="A229" s="12">
        <f t="shared" si="6"/>
        <v>224</v>
      </c>
      <c r="B229" s="10"/>
      <c r="C229" s="3" t="s">
        <v>11</v>
      </c>
      <c r="E229" s="2">
        <v>280000</v>
      </c>
      <c r="F229" s="11"/>
      <c r="G229" s="11">
        <f t="shared" si="7"/>
        <v>280000</v>
      </c>
      <c r="L229" s="2"/>
    </row>
    <row r="230" spans="1:12" x14ac:dyDescent="0.2">
      <c r="A230" s="12">
        <f t="shared" si="6"/>
        <v>225</v>
      </c>
      <c r="B230" s="10"/>
      <c r="C230" s="3" t="s">
        <v>11</v>
      </c>
      <c r="E230" s="2">
        <v>180000</v>
      </c>
      <c r="F230" s="11"/>
      <c r="G230" s="11">
        <f t="shared" si="7"/>
        <v>180000</v>
      </c>
      <c r="L230" s="2"/>
    </row>
    <row r="231" spans="1:12" x14ac:dyDescent="0.2">
      <c r="A231" s="12">
        <f t="shared" si="6"/>
        <v>226</v>
      </c>
      <c r="B231" s="10"/>
      <c r="C231" s="3" t="s">
        <v>13</v>
      </c>
      <c r="D231" s="2">
        <v>1500000</v>
      </c>
      <c r="E231" s="2">
        <v>225000</v>
      </c>
      <c r="F231" s="11"/>
      <c r="G231" s="11">
        <f t="shared" si="7"/>
        <v>1725000</v>
      </c>
      <c r="L231" s="2"/>
    </row>
    <row r="232" spans="1:12" x14ac:dyDescent="0.2">
      <c r="A232" s="12">
        <f t="shared" si="6"/>
        <v>227</v>
      </c>
      <c r="B232" s="10"/>
      <c r="C232" s="3" t="s">
        <v>11</v>
      </c>
      <c r="E232" s="2">
        <v>530000</v>
      </c>
      <c r="F232" s="11"/>
      <c r="G232" s="11">
        <f t="shared" si="7"/>
        <v>530000</v>
      </c>
      <c r="L232" s="2"/>
    </row>
    <row r="233" spans="1:12" x14ac:dyDescent="0.2">
      <c r="A233" s="12">
        <f t="shared" si="6"/>
        <v>228</v>
      </c>
      <c r="B233" s="10"/>
      <c r="C233" s="3" t="s">
        <v>10</v>
      </c>
      <c r="E233" s="2">
        <v>280000</v>
      </c>
      <c r="F233" s="11"/>
      <c r="G233" s="11">
        <f t="shared" si="7"/>
        <v>280000</v>
      </c>
      <c r="L233" s="2"/>
    </row>
    <row r="234" spans="1:12" x14ac:dyDescent="0.2">
      <c r="A234" s="12">
        <f t="shared" si="6"/>
        <v>229</v>
      </c>
      <c r="B234" s="10"/>
      <c r="C234" s="3" t="s">
        <v>9</v>
      </c>
      <c r="E234" s="2">
        <v>160000</v>
      </c>
      <c r="F234" s="11"/>
      <c r="G234" s="11">
        <f t="shared" si="7"/>
        <v>160000</v>
      </c>
      <c r="L234" s="2"/>
    </row>
    <row r="235" spans="1:12" x14ac:dyDescent="0.2">
      <c r="A235" s="12">
        <f t="shared" si="6"/>
        <v>230</v>
      </c>
      <c r="B235" s="10"/>
      <c r="C235" s="3" t="s">
        <v>11</v>
      </c>
      <c r="E235" s="2">
        <v>280000</v>
      </c>
      <c r="F235" s="11"/>
      <c r="G235" s="11">
        <f t="shared" si="7"/>
        <v>280000</v>
      </c>
      <c r="L235" s="2"/>
    </row>
    <row r="236" spans="1:12" x14ac:dyDescent="0.2">
      <c r="A236" s="12">
        <f t="shared" si="6"/>
        <v>231</v>
      </c>
      <c r="B236" s="10"/>
      <c r="C236" s="3" t="s">
        <v>10</v>
      </c>
      <c r="E236" s="2">
        <v>260000</v>
      </c>
      <c r="F236" s="11"/>
      <c r="G236" s="11">
        <f t="shared" si="7"/>
        <v>260000</v>
      </c>
      <c r="L236" s="2"/>
    </row>
    <row r="237" spans="1:12" x14ac:dyDescent="0.2">
      <c r="A237" s="12">
        <f t="shared" si="6"/>
        <v>232</v>
      </c>
      <c r="B237" s="10"/>
      <c r="C237" s="3" t="s">
        <v>11</v>
      </c>
      <c r="E237" s="2">
        <v>530000</v>
      </c>
      <c r="F237" s="11"/>
      <c r="G237" s="11">
        <f t="shared" si="7"/>
        <v>530000</v>
      </c>
      <c r="L237" s="2"/>
    </row>
    <row r="238" spans="1:12" x14ac:dyDescent="0.2">
      <c r="A238" s="12">
        <f t="shared" si="6"/>
        <v>233</v>
      </c>
      <c r="B238" s="10"/>
      <c r="C238" s="3" t="s">
        <v>11</v>
      </c>
      <c r="E238" s="2">
        <v>300000</v>
      </c>
      <c r="F238" s="11"/>
      <c r="G238" s="11">
        <f t="shared" si="7"/>
        <v>300000</v>
      </c>
      <c r="L238" s="2"/>
    </row>
    <row r="239" spans="1:12" x14ac:dyDescent="0.2">
      <c r="A239" s="12">
        <f t="shared" si="6"/>
        <v>234</v>
      </c>
      <c r="B239" s="10"/>
      <c r="C239" s="3" t="s">
        <v>13</v>
      </c>
      <c r="D239" s="2">
        <v>500000</v>
      </c>
      <c r="E239" s="2">
        <v>165000</v>
      </c>
      <c r="F239" s="11"/>
      <c r="G239" s="11">
        <f t="shared" si="7"/>
        <v>665000</v>
      </c>
      <c r="L239" s="2"/>
    </row>
    <row r="240" spans="1:12" x14ac:dyDescent="0.2">
      <c r="A240" s="12">
        <f t="shared" si="6"/>
        <v>235</v>
      </c>
      <c r="B240" s="10"/>
      <c r="C240" s="3" t="s">
        <v>13</v>
      </c>
      <c r="D240" s="2">
        <v>8000000</v>
      </c>
      <c r="E240" s="2">
        <v>720000</v>
      </c>
      <c r="F240" s="11"/>
      <c r="G240" s="11">
        <f t="shared" si="7"/>
        <v>8720000</v>
      </c>
      <c r="L240" s="2"/>
    </row>
    <row r="241" spans="1:12" x14ac:dyDescent="0.2">
      <c r="A241" s="12">
        <f t="shared" si="6"/>
        <v>236</v>
      </c>
      <c r="B241" s="10"/>
      <c r="C241" s="3" t="s">
        <v>11</v>
      </c>
      <c r="E241" s="2">
        <v>280000</v>
      </c>
      <c r="F241" s="11"/>
      <c r="G241" s="11">
        <f t="shared" si="7"/>
        <v>280000</v>
      </c>
      <c r="L241" s="2"/>
    </row>
    <row r="242" spans="1:12" x14ac:dyDescent="0.2">
      <c r="A242" s="12">
        <f t="shared" si="6"/>
        <v>237</v>
      </c>
      <c r="B242" s="10"/>
      <c r="C242" s="3" t="s">
        <v>13</v>
      </c>
      <c r="D242" s="2">
        <v>1000000</v>
      </c>
      <c r="E242" s="2">
        <v>145000</v>
      </c>
      <c r="F242" s="11"/>
      <c r="G242" s="11">
        <f t="shared" si="7"/>
        <v>1145000</v>
      </c>
      <c r="L242" s="2"/>
    </row>
    <row r="243" spans="1:12" x14ac:dyDescent="0.2">
      <c r="A243" s="12">
        <f t="shared" si="6"/>
        <v>238</v>
      </c>
      <c r="B243" s="10"/>
      <c r="C243" s="3" t="s">
        <v>11</v>
      </c>
      <c r="E243" s="2">
        <v>280000</v>
      </c>
      <c r="F243" s="11"/>
      <c r="G243" s="11">
        <f t="shared" si="7"/>
        <v>280000</v>
      </c>
      <c r="L243" s="2"/>
    </row>
    <row r="244" spans="1:12" x14ac:dyDescent="0.2">
      <c r="A244" s="12">
        <f t="shared" si="6"/>
        <v>239</v>
      </c>
      <c r="B244" s="10"/>
      <c r="C244" s="3" t="s">
        <v>10</v>
      </c>
      <c r="E244" s="2">
        <v>280000</v>
      </c>
      <c r="F244" s="11"/>
      <c r="G244" s="11">
        <f t="shared" si="7"/>
        <v>280000</v>
      </c>
      <c r="L244" s="2"/>
    </row>
    <row r="245" spans="1:12" x14ac:dyDescent="0.2">
      <c r="A245" s="12">
        <f t="shared" si="6"/>
        <v>240</v>
      </c>
      <c r="B245" s="10"/>
      <c r="C245" s="3" t="s">
        <v>10</v>
      </c>
      <c r="E245" s="2">
        <v>250000</v>
      </c>
      <c r="F245" s="11"/>
      <c r="G245" s="11">
        <f t="shared" si="7"/>
        <v>250000</v>
      </c>
      <c r="L245" s="2"/>
    </row>
    <row r="246" spans="1:12" x14ac:dyDescent="0.2">
      <c r="A246" s="12">
        <f t="shared" si="6"/>
        <v>241</v>
      </c>
      <c r="B246" s="10"/>
      <c r="C246" s="3" t="s">
        <v>11</v>
      </c>
      <c r="E246" s="2">
        <v>570000</v>
      </c>
      <c r="F246" s="11"/>
      <c r="G246" s="11">
        <f t="shared" si="7"/>
        <v>570000</v>
      </c>
      <c r="L246" s="2"/>
    </row>
    <row r="247" spans="1:12" x14ac:dyDescent="0.2">
      <c r="A247" s="12">
        <f t="shared" si="6"/>
        <v>242</v>
      </c>
      <c r="B247" s="10"/>
      <c r="C247" s="3" t="s">
        <v>11</v>
      </c>
      <c r="E247" s="2">
        <v>360000</v>
      </c>
      <c r="F247" s="11"/>
      <c r="G247" s="11">
        <f t="shared" si="7"/>
        <v>360000</v>
      </c>
      <c r="L247" s="2"/>
    </row>
    <row r="248" spans="1:12" x14ac:dyDescent="0.2">
      <c r="F248" s="11"/>
      <c r="G248" s="11"/>
      <c r="L248" s="2"/>
    </row>
    <row r="249" spans="1:12" x14ac:dyDescent="0.2">
      <c r="C249" s="3" t="s">
        <v>26</v>
      </c>
      <c r="D249" s="34">
        <f>E4</f>
        <v>65673000</v>
      </c>
      <c r="E249" s="15"/>
      <c r="F249" s="11"/>
      <c r="L249" s="2"/>
    </row>
    <row r="250" spans="1:12" x14ac:dyDescent="0.2">
      <c r="C250" s="3" t="s">
        <v>27</v>
      </c>
      <c r="D250" s="34">
        <v>5750500</v>
      </c>
      <c r="E250" s="15"/>
      <c r="F250" s="16" t="s">
        <v>28</v>
      </c>
      <c r="G250" s="17"/>
      <c r="H250" s="17">
        <f>2179000+11500</f>
        <v>2190500</v>
      </c>
      <c r="I250" s="18"/>
      <c r="J250" s="3" t="s">
        <v>50</v>
      </c>
      <c r="L250" s="2"/>
    </row>
    <row r="251" spans="1:12" x14ac:dyDescent="0.2">
      <c r="C251" s="3" t="s">
        <v>29</v>
      </c>
      <c r="D251" s="35">
        <v>7880000</v>
      </c>
      <c r="E251" s="15" t="s">
        <v>30</v>
      </c>
      <c r="F251" s="17" t="s">
        <v>31</v>
      </c>
      <c r="G251" s="17"/>
      <c r="H251" s="17">
        <v>366000</v>
      </c>
      <c r="J251" s="3" t="s">
        <v>51</v>
      </c>
      <c r="L251" s="2"/>
    </row>
    <row r="252" spans="1:12" x14ac:dyDescent="0.2">
      <c r="C252" s="3" t="s">
        <v>47</v>
      </c>
      <c r="D252" s="32">
        <v>-26688738</v>
      </c>
      <c r="F252" s="17" t="s">
        <v>32</v>
      </c>
      <c r="G252" s="17"/>
      <c r="H252" s="17">
        <v>111000</v>
      </c>
      <c r="J252" s="3" t="s">
        <v>52</v>
      </c>
      <c r="L252" s="2"/>
    </row>
    <row r="253" spans="1:12" x14ac:dyDescent="0.2">
      <c r="C253" s="3" t="s">
        <v>48</v>
      </c>
      <c r="D253" s="33">
        <v>-1111000</v>
      </c>
      <c r="F253" s="17"/>
      <c r="G253" s="17"/>
      <c r="H253" s="17"/>
      <c r="J253" s="3" t="s">
        <v>53</v>
      </c>
      <c r="L253" s="2"/>
    </row>
    <row r="254" spans="1:12" x14ac:dyDescent="0.2">
      <c r="C254" s="3" t="s">
        <v>49</v>
      </c>
      <c r="D254" s="33">
        <v>-4517000</v>
      </c>
      <c r="F254" s="17"/>
      <c r="G254" s="17"/>
      <c r="H254" s="17"/>
      <c r="L254" s="2"/>
    </row>
    <row r="255" spans="1:12" ht="17" thickBot="1" x14ac:dyDescent="0.25">
      <c r="D255" s="33"/>
      <c r="F255" s="20"/>
      <c r="G255" s="20"/>
      <c r="H255" s="20"/>
      <c r="L255" s="2"/>
    </row>
    <row r="256" spans="1:12" ht="18" thickTop="1" thickBot="1" x14ac:dyDescent="0.25">
      <c r="C256" s="21" t="s">
        <v>33</v>
      </c>
      <c r="D256" s="22">
        <f>SUM(D249:D255)</f>
        <v>46986762</v>
      </c>
      <c r="F256" s="17"/>
      <c r="G256" s="23" t="s">
        <v>34</v>
      </c>
      <c r="H256" s="24">
        <f>SUM(H250:H252)</f>
        <v>2667500</v>
      </c>
      <c r="L256" s="2"/>
    </row>
    <row r="257" spans="1:12" x14ac:dyDescent="0.2">
      <c r="C257" s="25"/>
      <c r="D257" s="26"/>
      <c r="L257" s="2"/>
    </row>
    <row r="258" spans="1:12" x14ac:dyDescent="0.2">
      <c r="C258" s="27" t="s">
        <v>35</v>
      </c>
      <c r="D258" s="2">
        <f>-I4</f>
        <v>0</v>
      </c>
      <c r="F258" s="11"/>
      <c r="G258" s="11"/>
      <c r="L258" s="2"/>
    </row>
    <row r="259" spans="1:12" x14ac:dyDescent="0.2">
      <c r="C259" s="27" t="s">
        <v>36</v>
      </c>
      <c r="D259" s="2">
        <f>-J4</f>
        <v>0</v>
      </c>
      <c r="F259" s="11"/>
      <c r="G259" s="11"/>
      <c r="L259" s="2"/>
    </row>
    <row r="260" spans="1:12" x14ac:dyDescent="0.2">
      <c r="C260" s="27" t="s">
        <v>37</v>
      </c>
      <c r="D260" s="2">
        <v>-366000</v>
      </c>
      <c r="F260" s="11"/>
      <c r="G260" s="11"/>
      <c r="L260" s="2"/>
    </row>
    <row r="261" spans="1:12" x14ac:dyDescent="0.2">
      <c r="C261" s="27" t="s">
        <v>38</v>
      </c>
      <c r="D261" s="2">
        <v>-111000</v>
      </c>
      <c r="F261" s="11"/>
      <c r="G261" s="11"/>
      <c r="L261" s="2"/>
    </row>
    <row r="262" spans="1:12" x14ac:dyDescent="0.2">
      <c r="C262" s="27" t="s">
        <v>39</v>
      </c>
      <c r="D262" s="19">
        <v>-1000000</v>
      </c>
      <c r="F262" s="11"/>
      <c r="G262" s="11"/>
      <c r="L262" s="2"/>
    </row>
    <row r="263" spans="1:12" x14ac:dyDescent="0.2">
      <c r="C263" s="27" t="s">
        <v>40</v>
      </c>
      <c r="D263" s="28">
        <v>-570000</v>
      </c>
      <c r="F263" s="11"/>
      <c r="G263" s="11"/>
      <c r="L263" s="2"/>
    </row>
    <row r="264" spans="1:12" x14ac:dyDescent="0.2">
      <c r="C264" s="27" t="s">
        <v>41</v>
      </c>
      <c r="D264" s="28"/>
      <c r="F264" s="11"/>
      <c r="G264" s="11"/>
      <c r="L264" s="2"/>
    </row>
    <row r="265" spans="1:12" x14ac:dyDescent="0.2">
      <c r="C265" s="27" t="s">
        <v>42</v>
      </c>
      <c r="D265" s="2">
        <v>-2100000</v>
      </c>
      <c r="E265" s="29"/>
      <c r="F265" s="11"/>
      <c r="G265" s="11"/>
      <c r="L265" s="2"/>
    </row>
    <row r="266" spans="1:12" x14ac:dyDescent="0.2">
      <c r="C266" s="27" t="s">
        <v>43</v>
      </c>
      <c r="D266" s="2">
        <v>-2550000</v>
      </c>
      <c r="E266" s="29"/>
      <c r="F266" s="11"/>
      <c r="G266" s="11"/>
      <c r="L266" s="2"/>
    </row>
    <row r="267" spans="1:12" x14ac:dyDescent="0.2">
      <c r="C267" s="27"/>
      <c r="E267" s="29"/>
      <c r="F267" s="11"/>
      <c r="G267" s="11"/>
      <c r="L267" s="2"/>
    </row>
    <row r="268" spans="1:12" ht="17" thickBot="1" x14ac:dyDescent="0.25">
      <c r="C268" s="21" t="s">
        <v>44</v>
      </c>
      <c r="D268" s="22">
        <f>SUM(D256:D267)</f>
        <v>40289762</v>
      </c>
      <c r="F268" s="11"/>
      <c r="G268" s="11"/>
      <c r="L268" s="2"/>
    </row>
    <row r="269" spans="1:12" x14ac:dyDescent="0.2">
      <c r="C269" s="25"/>
      <c r="D269" s="26"/>
      <c r="F269" s="11"/>
      <c r="G269" s="11"/>
      <c r="L269" s="2"/>
    </row>
    <row r="270" spans="1:12" x14ac:dyDescent="0.2">
      <c r="F270" s="11"/>
      <c r="G270" s="11"/>
      <c r="L270" s="2"/>
    </row>
    <row r="271" spans="1:12" ht="17" thickBot="1" x14ac:dyDescent="0.25">
      <c r="A271" s="7" t="s">
        <v>2</v>
      </c>
      <c r="B271" s="7" t="s">
        <v>3</v>
      </c>
      <c r="C271" s="7" t="s">
        <v>4</v>
      </c>
      <c r="D271" s="8"/>
      <c r="E271" s="8" t="s">
        <v>45</v>
      </c>
      <c r="F271" s="8" t="s">
        <v>7</v>
      </c>
      <c r="G271" s="8" t="s">
        <v>8</v>
      </c>
      <c r="H271" s="8" t="s">
        <v>46</v>
      </c>
      <c r="L271" s="2"/>
    </row>
    <row r="272" spans="1:12" ht="17" thickTop="1" x14ac:dyDescent="0.2">
      <c r="A272" s="5">
        <v>1</v>
      </c>
      <c r="B272" s="10"/>
      <c r="F272" s="11"/>
      <c r="G272" s="11">
        <f>E272+F272</f>
        <v>0</v>
      </c>
      <c r="H272" s="2">
        <f>G272*10%</f>
        <v>0</v>
      </c>
      <c r="L272" s="2"/>
    </row>
    <row r="273" spans="1:8" x14ac:dyDescent="0.2">
      <c r="A273" s="5">
        <v>2</v>
      </c>
      <c r="B273" s="10"/>
      <c r="F273" s="11"/>
      <c r="G273" s="11">
        <f>E273+F273</f>
        <v>0</v>
      </c>
      <c r="H273" s="2">
        <f>G273*10%</f>
        <v>0</v>
      </c>
    </row>
    <row r="274" spans="1:8" x14ac:dyDescent="0.2">
      <c r="B274" s="10"/>
      <c r="G274" s="11">
        <f>E274+F274</f>
        <v>0</v>
      </c>
      <c r="H274" s="2">
        <f>G274*10%</f>
        <v>0</v>
      </c>
    </row>
    <row r="276" spans="1:8" ht="17" thickBot="1" x14ac:dyDescent="0.25">
      <c r="G276" s="30" t="s">
        <v>34</v>
      </c>
      <c r="H276" s="30">
        <f>SUM(H272:H275)</f>
        <v>0</v>
      </c>
    </row>
    <row r="277" spans="1:8" ht="17" thickTop="1" x14ac:dyDescent="0.2"/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C789-7F59-8042-99C8-CEFD44BB679B}">
  <dimension ref="A1:M116"/>
  <sheetViews>
    <sheetView tabSelected="1" topLeftCell="A107" zoomScale="50" workbookViewId="0">
      <selection activeCell="E125" sqref="E125"/>
    </sheetView>
  </sheetViews>
  <sheetFormatPr baseColWidth="10" defaultRowHeight="16" x14ac:dyDescent="0.2"/>
  <cols>
    <col min="1" max="1" width="14.6640625" customWidth="1"/>
    <col min="2" max="2" width="11.83203125" customWidth="1"/>
    <col min="3" max="3" width="31.5" customWidth="1"/>
    <col min="4" max="4" width="18.6640625" customWidth="1"/>
    <col min="5" max="5" width="32.5" customWidth="1"/>
    <col min="6" max="6" width="19" customWidth="1"/>
    <col min="7" max="7" width="30.1640625" style="112" customWidth="1"/>
    <col min="8" max="8" width="19.33203125" customWidth="1"/>
    <col min="9" max="9" width="31" customWidth="1"/>
    <col min="10" max="10" width="29.83203125" customWidth="1"/>
    <col min="11" max="11" width="10.83203125" style="42"/>
    <col min="12" max="13" width="10.83203125" style="121"/>
  </cols>
  <sheetData>
    <row r="1" spans="1:11" ht="20" x14ac:dyDescent="0.2">
      <c r="A1" s="36" t="s">
        <v>2</v>
      </c>
      <c r="B1" s="37" t="s">
        <v>3</v>
      </c>
      <c r="C1" s="38" t="s">
        <v>54</v>
      </c>
      <c r="D1" s="39" t="s">
        <v>55</v>
      </c>
      <c r="E1" s="40" t="s">
        <v>56</v>
      </c>
      <c r="F1" s="40" t="s">
        <v>57</v>
      </c>
      <c r="G1" s="41" t="s">
        <v>58</v>
      </c>
      <c r="H1" s="38" t="s">
        <v>59</v>
      </c>
      <c r="I1" s="38" t="s">
        <v>60</v>
      </c>
      <c r="J1" s="40" t="s">
        <v>61</v>
      </c>
    </row>
    <row r="2" spans="1:11" ht="18" x14ac:dyDescent="0.2">
      <c r="A2" s="43">
        <v>1</v>
      </c>
      <c r="B2" s="44">
        <v>45992</v>
      </c>
      <c r="C2" s="45" t="s">
        <v>62</v>
      </c>
      <c r="D2" s="46"/>
      <c r="E2" s="47">
        <v>250000</v>
      </c>
      <c r="F2" s="48"/>
      <c r="G2" s="49"/>
      <c r="H2" s="50"/>
      <c r="I2" s="44"/>
      <c r="J2" s="48">
        <f>E2+F2</f>
        <v>250000</v>
      </c>
      <c r="K2" s="42" t="s">
        <v>63</v>
      </c>
    </row>
    <row r="3" spans="1:11" ht="18" x14ac:dyDescent="0.2">
      <c r="A3" s="43">
        <v>2</v>
      </c>
      <c r="B3" s="51">
        <v>45993</v>
      </c>
      <c r="C3" s="52" t="s">
        <v>64</v>
      </c>
      <c r="D3" s="53"/>
      <c r="E3" s="47">
        <v>72000</v>
      </c>
      <c r="F3" s="47"/>
      <c r="G3" s="54"/>
      <c r="H3" s="52"/>
      <c r="I3" s="52"/>
      <c r="J3" s="47">
        <f t="shared" ref="J3:J49" si="0">E3+F3</f>
        <v>72000</v>
      </c>
      <c r="K3" s="42" t="s">
        <v>63</v>
      </c>
    </row>
    <row r="4" spans="1:11" ht="18" x14ac:dyDescent="0.2">
      <c r="A4" s="43">
        <v>3</v>
      </c>
      <c r="B4" s="51">
        <v>45994</v>
      </c>
      <c r="C4" s="52" t="s">
        <v>65</v>
      </c>
      <c r="D4" s="53"/>
      <c r="E4" s="47">
        <f>120900*2</f>
        <v>241800</v>
      </c>
      <c r="F4" s="47"/>
      <c r="G4" s="54"/>
      <c r="H4" s="52"/>
      <c r="I4" s="52"/>
      <c r="J4" s="47">
        <f t="shared" si="0"/>
        <v>241800</v>
      </c>
      <c r="K4" s="42" t="s">
        <v>63</v>
      </c>
    </row>
    <row r="5" spans="1:11" ht="23" x14ac:dyDescent="0.2">
      <c r="A5" s="43">
        <v>4</v>
      </c>
      <c r="B5" s="51">
        <v>45994</v>
      </c>
      <c r="C5" s="52" t="s">
        <v>66</v>
      </c>
      <c r="D5" s="53"/>
      <c r="E5" s="47">
        <v>150540</v>
      </c>
      <c r="F5" s="47"/>
      <c r="G5" s="54"/>
      <c r="H5" s="55"/>
      <c r="I5" s="55"/>
      <c r="J5" s="47">
        <f t="shared" si="0"/>
        <v>150540</v>
      </c>
      <c r="K5" s="42" t="s">
        <v>63</v>
      </c>
    </row>
    <row r="6" spans="1:11" ht="23" x14ac:dyDescent="0.2">
      <c r="A6" s="43">
        <v>5</v>
      </c>
      <c r="B6" s="51">
        <v>45995</v>
      </c>
      <c r="C6" s="56" t="s">
        <v>67</v>
      </c>
      <c r="D6" s="53"/>
      <c r="E6" s="47">
        <v>285950</v>
      </c>
      <c r="F6" s="47"/>
      <c r="G6" s="54"/>
      <c r="H6" s="55"/>
      <c r="I6" s="55"/>
      <c r="J6" s="47">
        <f t="shared" si="0"/>
        <v>285950</v>
      </c>
      <c r="K6" s="42" t="s">
        <v>63</v>
      </c>
    </row>
    <row r="7" spans="1:11" ht="23" x14ac:dyDescent="0.25">
      <c r="A7" s="43">
        <v>6</v>
      </c>
      <c r="B7" s="51">
        <v>45995</v>
      </c>
      <c r="C7" s="56" t="s">
        <v>68</v>
      </c>
      <c r="D7" s="53"/>
      <c r="E7" s="47">
        <v>170000</v>
      </c>
      <c r="F7" s="47"/>
      <c r="G7" s="54"/>
      <c r="H7" s="57"/>
      <c r="I7" s="58"/>
      <c r="J7" s="47">
        <f t="shared" si="0"/>
        <v>170000</v>
      </c>
      <c r="K7" s="42" t="s">
        <v>63</v>
      </c>
    </row>
    <row r="8" spans="1:11" ht="23" x14ac:dyDescent="0.25">
      <c r="A8" s="43">
        <v>7</v>
      </c>
      <c r="B8" s="51">
        <v>45995</v>
      </c>
      <c r="C8" s="52" t="s">
        <v>69</v>
      </c>
      <c r="D8" s="53"/>
      <c r="E8" s="47">
        <v>220400</v>
      </c>
      <c r="F8" s="47"/>
      <c r="G8" s="54"/>
      <c r="H8" s="57"/>
      <c r="I8" s="58"/>
      <c r="J8" s="47">
        <f t="shared" si="0"/>
        <v>220400</v>
      </c>
      <c r="K8" s="42" t="s">
        <v>63</v>
      </c>
    </row>
    <row r="9" spans="1:11" ht="23" x14ac:dyDescent="0.25">
      <c r="A9" s="43">
        <v>8</v>
      </c>
      <c r="B9" s="51">
        <v>45995</v>
      </c>
      <c r="C9" s="52" t="s">
        <v>70</v>
      </c>
      <c r="D9" s="53"/>
      <c r="E9" s="47">
        <v>75000</v>
      </c>
      <c r="F9" s="47"/>
      <c r="G9" s="54"/>
      <c r="H9" s="57"/>
      <c r="I9" s="58"/>
      <c r="J9" s="47">
        <f t="shared" si="0"/>
        <v>75000</v>
      </c>
      <c r="K9" s="42" t="s">
        <v>63</v>
      </c>
    </row>
    <row r="10" spans="1:11" ht="23" x14ac:dyDescent="0.2">
      <c r="A10" s="43">
        <v>9</v>
      </c>
      <c r="B10" s="59">
        <v>45995</v>
      </c>
      <c r="C10" s="52" t="s">
        <v>71</v>
      </c>
      <c r="D10" s="53"/>
      <c r="E10" s="47">
        <v>739900</v>
      </c>
      <c r="F10" s="47"/>
      <c r="G10" s="54"/>
      <c r="H10" s="60"/>
      <c r="I10" s="60"/>
      <c r="J10" s="47">
        <f t="shared" si="0"/>
        <v>739900</v>
      </c>
      <c r="K10" s="42" t="s">
        <v>63</v>
      </c>
    </row>
    <row r="11" spans="1:11" ht="23" x14ac:dyDescent="0.2">
      <c r="A11" s="43">
        <v>10</v>
      </c>
      <c r="B11" s="59">
        <v>45996</v>
      </c>
      <c r="C11" s="52" t="s">
        <v>66</v>
      </c>
      <c r="D11" s="53"/>
      <c r="E11" s="47">
        <v>67000</v>
      </c>
      <c r="F11" s="47"/>
      <c r="G11" s="54"/>
      <c r="H11" s="60"/>
      <c r="I11" s="61"/>
      <c r="J11" s="47">
        <f t="shared" si="0"/>
        <v>67000</v>
      </c>
      <c r="K11" s="42" t="s">
        <v>63</v>
      </c>
    </row>
    <row r="12" spans="1:11" ht="23" x14ac:dyDescent="0.2">
      <c r="A12" s="43">
        <v>11</v>
      </c>
      <c r="B12" s="51">
        <v>45996</v>
      </c>
      <c r="C12" s="52" t="s">
        <v>66</v>
      </c>
      <c r="D12" s="53"/>
      <c r="E12" s="47">
        <v>119100</v>
      </c>
      <c r="F12" s="47"/>
      <c r="G12" s="54"/>
      <c r="H12" s="55"/>
      <c r="I12" s="62"/>
      <c r="J12" s="47">
        <f t="shared" si="0"/>
        <v>119100</v>
      </c>
      <c r="K12" s="42" t="s">
        <v>63</v>
      </c>
    </row>
    <row r="13" spans="1:11" ht="23" x14ac:dyDescent="0.2">
      <c r="A13" s="43">
        <v>12</v>
      </c>
      <c r="B13" s="51">
        <v>45996</v>
      </c>
      <c r="C13" s="52" t="s">
        <v>69</v>
      </c>
      <c r="D13" s="53"/>
      <c r="E13" s="47">
        <v>228300</v>
      </c>
      <c r="F13" s="47"/>
      <c r="G13" s="54"/>
      <c r="H13" s="55"/>
      <c r="I13" s="63"/>
      <c r="J13" s="47">
        <f t="shared" si="0"/>
        <v>228300</v>
      </c>
      <c r="K13" s="42" t="s">
        <v>63</v>
      </c>
    </row>
    <row r="14" spans="1:11" ht="23" x14ac:dyDescent="0.2">
      <c r="A14" s="43">
        <v>13</v>
      </c>
      <c r="B14" s="51">
        <v>45997</v>
      </c>
      <c r="C14" s="52" t="s">
        <v>72</v>
      </c>
      <c r="D14" s="53"/>
      <c r="E14" s="47">
        <v>70385</v>
      </c>
      <c r="F14" s="47"/>
      <c r="G14" s="54"/>
      <c r="H14" s="64"/>
      <c r="I14" s="62"/>
      <c r="J14" s="47">
        <f t="shared" si="0"/>
        <v>70385</v>
      </c>
      <c r="K14" s="42" t="s">
        <v>63</v>
      </c>
    </row>
    <row r="15" spans="1:11" ht="23" x14ac:dyDescent="0.2">
      <c r="A15" s="43">
        <v>14</v>
      </c>
      <c r="B15" s="51">
        <v>45997</v>
      </c>
      <c r="C15" s="52" t="s">
        <v>72</v>
      </c>
      <c r="D15" s="53"/>
      <c r="E15" s="47">
        <v>70385</v>
      </c>
      <c r="F15" s="47"/>
      <c r="G15" s="54"/>
      <c r="H15" s="55"/>
      <c r="I15" s="55"/>
      <c r="J15" s="47">
        <f t="shared" si="0"/>
        <v>70385</v>
      </c>
      <c r="K15" s="42" t="s">
        <v>63</v>
      </c>
    </row>
    <row r="16" spans="1:11" ht="23" x14ac:dyDescent="0.2">
      <c r="A16" s="43">
        <v>15</v>
      </c>
      <c r="B16" s="51">
        <v>45997</v>
      </c>
      <c r="C16" s="52" t="s">
        <v>73</v>
      </c>
      <c r="D16" s="53"/>
      <c r="E16" s="47">
        <v>240000</v>
      </c>
      <c r="F16" s="47"/>
      <c r="G16" s="54"/>
      <c r="H16" s="55"/>
      <c r="I16" s="55"/>
      <c r="J16" s="47">
        <f t="shared" si="0"/>
        <v>240000</v>
      </c>
      <c r="K16" s="42" t="s">
        <v>63</v>
      </c>
    </row>
    <row r="17" spans="1:11" ht="23" x14ac:dyDescent="0.2">
      <c r="A17" s="43">
        <v>16</v>
      </c>
      <c r="B17" s="51">
        <v>45999</v>
      </c>
      <c r="C17" s="52" t="s">
        <v>74</v>
      </c>
      <c r="D17" s="53">
        <v>1320</v>
      </c>
      <c r="E17" s="47">
        <f t="shared" ref="E17:E65" si="1">D17*2380</f>
        <v>3141600</v>
      </c>
      <c r="F17" s="47"/>
      <c r="G17" s="54" t="s">
        <v>75</v>
      </c>
      <c r="H17" s="55" t="s">
        <v>76</v>
      </c>
      <c r="I17" s="62">
        <v>46038</v>
      </c>
      <c r="J17" s="47">
        <f t="shared" si="0"/>
        <v>3141600</v>
      </c>
      <c r="K17" s="42" t="s">
        <v>63</v>
      </c>
    </row>
    <row r="18" spans="1:11" ht="23" x14ac:dyDescent="0.2">
      <c r="A18" s="43">
        <v>17</v>
      </c>
      <c r="B18" s="51">
        <v>45999</v>
      </c>
      <c r="C18" s="52" t="s">
        <v>77</v>
      </c>
      <c r="D18" s="53">
        <v>825.6</v>
      </c>
      <c r="E18" s="47">
        <f t="shared" si="1"/>
        <v>1964928</v>
      </c>
      <c r="F18" s="47"/>
      <c r="G18" s="54" t="s">
        <v>78</v>
      </c>
      <c r="H18" s="55" t="s">
        <v>76</v>
      </c>
      <c r="I18" s="62">
        <v>46038</v>
      </c>
      <c r="J18" s="47">
        <f t="shared" si="0"/>
        <v>1964928</v>
      </c>
      <c r="K18" s="42" t="s">
        <v>63</v>
      </c>
    </row>
    <row r="19" spans="1:11" ht="23" x14ac:dyDescent="0.2">
      <c r="A19" s="43">
        <v>18</v>
      </c>
      <c r="B19" s="51">
        <v>45999</v>
      </c>
      <c r="C19" s="52" t="s">
        <v>79</v>
      </c>
      <c r="D19" s="53">
        <v>1000</v>
      </c>
      <c r="E19" s="47">
        <f t="shared" si="1"/>
        <v>2380000</v>
      </c>
      <c r="F19" s="47"/>
      <c r="G19" s="54" t="s">
        <v>80</v>
      </c>
      <c r="H19" s="55" t="s">
        <v>76</v>
      </c>
      <c r="I19" s="62">
        <v>46038</v>
      </c>
      <c r="J19" s="47">
        <f t="shared" si="0"/>
        <v>2380000</v>
      </c>
      <c r="K19" s="42" t="s">
        <v>63</v>
      </c>
    </row>
    <row r="20" spans="1:11" ht="23" x14ac:dyDescent="0.2">
      <c r="A20" s="43">
        <v>19</v>
      </c>
      <c r="B20" s="51">
        <v>45999</v>
      </c>
      <c r="C20" s="52" t="s">
        <v>81</v>
      </c>
      <c r="D20" s="53"/>
      <c r="E20" s="47">
        <v>1145778</v>
      </c>
      <c r="F20" s="47"/>
      <c r="G20" s="54"/>
      <c r="H20" s="55"/>
      <c r="I20" s="55"/>
      <c r="J20" s="47">
        <f t="shared" si="0"/>
        <v>1145778</v>
      </c>
      <c r="K20" s="42" t="s">
        <v>63</v>
      </c>
    </row>
    <row r="21" spans="1:11" ht="23" x14ac:dyDescent="0.2">
      <c r="A21" s="43">
        <v>20</v>
      </c>
      <c r="B21" s="51">
        <v>45999</v>
      </c>
      <c r="C21" s="52" t="s">
        <v>82</v>
      </c>
      <c r="D21" s="53"/>
      <c r="E21" s="47">
        <v>72000</v>
      </c>
      <c r="F21" s="47"/>
      <c r="G21" s="54"/>
      <c r="H21" s="55"/>
      <c r="I21" s="55"/>
      <c r="J21" s="47">
        <f t="shared" si="0"/>
        <v>72000</v>
      </c>
      <c r="K21" s="42" t="s">
        <v>63</v>
      </c>
    </row>
    <row r="22" spans="1:11" ht="23" x14ac:dyDescent="0.2">
      <c r="A22" s="43">
        <v>21</v>
      </c>
      <c r="B22" s="51">
        <v>46000</v>
      </c>
      <c r="C22" s="52" t="s">
        <v>83</v>
      </c>
      <c r="D22" s="53"/>
      <c r="E22" s="47">
        <v>109355</v>
      </c>
      <c r="F22" s="47"/>
      <c r="G22" s="54"/>
      <c r="H22" s="55"/>
      <c r="I22" s="55"/>
      <c r="J22" s="47">
        <f t="shared" si="0"/>
        <v>109355</v>
      </c>
      <c r="K22" s="42" t="s">
        <v>63</v>
      </c>
    </row>
    <row r="23" spans="1:11" ht="23" x14ac:dyDescent="0.2">
      <c r="A23" s="43">
        <v>22</v>
      </c>
      <c r="B23" s="51">
        <v>46000</v>
      </c>
      <c r="C23" s="52" t="s">
        <v>84</v>
      </c>
      <c r="D23" s="53"/>
      <c r="E23" s="47">
        <v>50823</v>
      </c>
      <c r="F23" s="47"/>
      <c r="G23" s="54"/>
      <c r="H23" s="55"/>
      <c r="I23" s="55"/>
      <c r="J23" s="47">
        <f t="shared" si="0"/>
        <v>50823</v>
      </c>
      <c r="K23" s="42" t="s">
        <v>63</v>
      </c>
    </row>
    <row r="24" spans="1:11" ht="23" x14ac:dyDescent="0.2">
      <c r="A24" s="43">
        <v>23</v>
      </c>
      <c r="B24" s="51">
        <v>46001</v>
      </c>
      <c r="C24" s="52" t="s">
        <v>85</v>
      </c>
      <c r="D24" s="53"/>
      <c r="E24" s="47">
        <v>57000</v>
      </c>
      <c r="F24" s="47"/>
      <c r="G24" s="54"/>
      <c r="H24" s="55"/>
      <c r="I24" s="55"/>
      <c r="J24" s="47">
        <f t="shared" si="0"/>
        <v>57000</v>
      </c>
      <c r="K24" s="42" t="s">
        <v>63</v>
      </c>
    </row>
    <row r="25" spans="1:11" ht="23" x14ac:dyDescent="0.2">
      <c r="A25" s="43">
        <v>24</v>
      </c>
      <c r="B25" s="51">
        <v>46002</v>
      </c>
      <c r="C25" s="52" t="s">
        <v>86</v>
      </c>
      <c r="D25" s="53"/>
      <c r="E25" s="47">
        <f>68300+68300</f>
        <v>136600</v>
      </c>
      <c r="F25" s="47"/>
      <c r="G25" s="54"/>
      <c r="H25" s="55"/>
      <c r="I25" s="55"/>
      <c r="J25" s="47">
        <f t="shared" si="0"/>
        <v>136600</v>
      </c>
      <c r="K25" s="42" t="s">
        <v>63</v>
      </c>
    </row>
    <row r="26" spans="1:11" ht="23" x14ac:dyDescent="0.2">
      <c r="A26" s="43">
        <v>25</v>
      </c>
      <c r="B26" s="51">
        <v>46003</v>
      </c>
      <c r="C26" s="52" t="s">
        <v>87</v>
      </c>
      <c r="D26" s="53"/>
      <c r="E26" s="47">
        <v>61600</v>
      </c>
      <c r="F26" s="47"/>
      <c r="G26" s="54"/>
      <c r="H26" s="55"/>
      <c r="I26" s="55"/>
      <c r="J26" s="47">
        <f t="shared" si="0"/>
        <v>61600</v>
      </c>
      <c r="K26" s="42" t="s">
        <v>63</v>
      </c>
    </row>
    <row r="27" spans="1:11" ht="23" x14ac:dyDescent="0.2">
      <c r="A27" s="43">
        <v>26</v>
      </c>
      <c r="B27" s="51">
        <v>46005</v>
      </c>
      <c r="C27" s="52" t="s">
        <v>87</v>
      </c>
      <c r="D27" s="53"/>
      <c r="E27" s="47">
        <v>126844</v>
      </c>
      <c r="F27" s="47"/>
      <c r="G27" s="54"/>
      <c r="H27" s="55"/>
      <c r="I27" s="55"/>
      <c r="J27" s="47">
        <f t="shared" si="0"/>
        <v>126844</v>
      </c>
      <c r="K27" s="42" t="s">
        <v>63</v>
      </c>
    </row>
    <row r="28" spans="1:11" ht="23" x14ac:dyDescent="0.2">
      <c r="A28" s="43">
        <v>27</v>
      </c>
      <c r="B28" s="51">
        <v>46005</v>
      </c>
      <c r="C28" s="52" t="s">
        <v>88</v>
      </c>
      <c r="D28" s="53"/>
      <c r="E28" s="47">
        <v>62671</v>
      </c>
      <c r="F28" s="47"/>
      <c r="G28" s="54"/>
      <c r="H28" s="55"/>
      <c r="I28" s="55"/>
      <c r="J28" s="47">
        <f t="shared" si="0"/>
        <v>62671</v>
      </c>
      <c r="K28" s="42" t="s">
        <v>63</v>
      </c>
    </row>
    <row r="29" spans="1:11" ht="23" x14ac:dyDescent="0.2">
      <c r="A29" s="43">
        <v>28</v>
      </c>
      <c r="B29" s="51">
        <v>46006</v>
      </c>
      <c r="C29" s="52" t="s">
        <v>89</v>
      </c>
      <c r="D29" s="53"/>
      <c r="E29" s="47">
        <v>33041</v>
      </c>
      <c r="F29" s="47"/>
      <c r="G29" s="54"/>
      <c r="H29" s="55"/>
      <c r="I29" s="55"/>
      <c r="J29" s="47">
        <f t="shared" si="0"/>
        <v>33041</v>
      </c>
      <c r="K29" s="42" t="s">
        <v>63</v>
      </c>
    </row>
    <row r="30" spans="1:11" ht="23" x14ac:dyDescent="0.2">
      <c r="A30" s="43">
        <v>29</v>
      </c>
      <c r="B30" s="51">
        <v>46008</v>
      </c>
      <c r="C30" s="52" t="s">
        <v>90</v>
      </c>
      <c r="D30" s="53"/>
      <c r="E30" s="47">
        <v>333000</v>
      </c>
      <c r="F30" s="47"/>
      <c r="G30" s="54"/>
      <c r="H30" s="55"/>
      <c r="I30" s="55"/>
      <c r="J30" s="47">
        <f t="shared" si="0"/>
        <v>333000</v>
      </c>
      <c r="K30" s="42" t="s">
        <v>63</v>
      </c>
    </row>
    <row r="31" spans="1:11" ht="23" x14ac:dyDescent="0.2">
      <c r="A31" s="43">
        <v>30</v>
      </c>
      <c r="B31" s="51">
        <v>46011</v>
      </c>
      <c r="C31" s="52" t="s">
        <v>66</v>
      </c>
      <c r="D31" s="53"/>
      <c r="E31" s="47">
        <v>113997</v>
      </c>
      <c r="F31" s="47"/>
      <c r="G31" s="54"/>
      <c r="H31" s="55"/>
      <c r="I31" s="55"/>
      <c r="J31" s="47">
        <f t="shared" si="0"/>
        <v>113997</v>
      </c>
      <c r="K31" s="42" t="s">
        <v>63</v>
      </c>
    </row>
    <row r="32" spans="1:11" ht="23" x14ac:dyDescent="0.2">
      <c r="A32" s="43">
        <v>31</v>
      </c>
      <c r="B32" s="51">
        <v>46015</v>
      </c>
      <c r="C32" s="52" t="s">
        <v>88</v>
      </c>
      <c r="D32" s="53"/>
      <c r="E32" s="47">
        <v>206900</v>
      </c>
      <c r="F32" s="47"/>
      <c r="G32" s="54"/>
      <c r="H32" s="55"/>
      <c r="I32" s="55"/>
      <c r="J32" s="47">
        <f t="shared" si="0"/>
        <v>206900</v>
      </c>
      <c r="K32" s="42" t="s">
        <v>63</v>
      </c>
    </row>
    <row r="33" spans="1:13" ht="23" x14ac:dyDescent="0.2">
      <c r="A33" s="43">
        <v>32</v>
      </c>
      <c r="B33" s="51">
        <v>46015</v>
      </c>
      <c r="C33" s="52" t="s">
        <v>66</v>
      </c>
      <c r="D33" s="53"/>
      <c r="E33" s="47">
        <v>171060</v>
      </c>
      <c r="F33" s="47"/>
      <c r="G33" s="54"/>
      <c r="H33" s="55"/>
      <c r="I33" s="55"/>
      <c r="J33" s="47">
        <f t="shared" si="0"/>
        <v>171060</v>
      </c>
      <c r="K33" s="42" t="s">
        <v>63</v>
      </c>
    </row>
    <row r="34" spans="1:13" ht="23" x14ac:dyDescent="0.2">
      <c r="A34" s="43">
        <v>33</v>
      </c>
      <c r="B34" s="51">
        <v>46019</v>
      </c>
      <c r="C34" s="52" t="s">
        <v>91</v>
      </c>
      <c r="D34" s="53"/>
      <c r="E34" s="47">
        <v>58400</v>
      </c>
      <c r="F34" s="47"/>
      <c r="G34" s="54"/>
      <c r="H34" s="55"/>
      <c r="I34" s="55"/>
      <c r="J34" s="47">
        <f t="shared" si="0"/>
        <v>58400</v>
      </c>
      <c r="K34" s="42" t="s">
        <v>63</v>
      </c>
    </row>
    <row r="35" spans="1:13" ht="23" x14ac:dyDescent="0.2">
      <c r="A35" s="43">
        <v>34</v>
      </c>
      <c r="B35" s="51">
        <v>46011</v>
      </c>
      <c r="C35" s="52" t="s">
        <v>88</v>
      </c>
      <c r="D35" s="53"/>
      <c r="E35" s="47">
        <v>129635</v>
      </c>
      <c r="F35" s="47"/>
      <c r="G35" s="54"/>
      <c r="H35" s="55"/>
      <c r="I35" s="55"/>
      <c r="J35" s="47">
        <f t="shared" si="0"/>
        <v>129635</v>
      </c>
      <c r="K35" s="42" t="s">
        <v>63</v>
      </c>
    </row>
    <row r="36" spans="1:13" ht="23" x14ac:dyDescent="0.2">
      <c r="A36" s="43">
        <v>35</v>
      </c>
      <c r="B36" s="51">
        <v>46012</v>
      </c>
      <c r="C36" s="52" t="s">
        <v>92</v>
      </c>
      <c r="D36" s="53"/>
      <c r="E36" s="47">
        <v>53000</v>
      </c>
      <c r="F36" s="47"/>
      <c r="G36" s="54"/>
      <c r="H36" s="55"/>
      <c r="I36" s="55"/>
      <c r="J36" s="47">
        <f t="shared" si="0"/>
        <v>53000</v>
      </c>
      <c r="K36" s="42" t="s">
        <v>63</v>
      </c>
    </row>
    <row r="37" spans="1:13" ht="23" x14ac:dyDescent="0.2">
      <c r="A37" s="43">
        <v>36</v>
      </c>
      <c r="B37" s="51">
        <v>46013</v>
      </c>
      <c r="C37" s="52" t="s">
        <v>93</v>
      </c>
      <c r="D37" s="53"/>
      <c r="E37" s="47">
        <v>53497</v>
      </c>
      <c r="F37" s="47"/>
      <c r="G37" s="54"/>
      <c r="H37" s="55"/>
      <c r="I37" s="55"/>
      <c r="J37" s="47">
        <f t="shared" si="0"/>
        <v>53497</v>
      </c>
      <c r="K37" s="42" t="s">
        <v>63</v>
      </c>
    </row>
    <row r="38" spans="1:13" ht="23" x14ac:dyDescent="0.2">
      <c r="A38" s="43">
        <v>37</v>
      </c>
      <c r="B38" s="51">
        <v>46013</v>
      </c>
      <c r="C38" s="52" t="s">
        <v>94</v>
      </c>
      <c r="D38" s="53"/>
      <c r="E38" s="47">
        <f>35200+33535</f>
        <v>68735</v>
      </c>
      <c r="F38" s="47"/>
      <c r="G38" s="54"/>
      <c r="H38" s="55"/>
      <c r="I38" s="55"/>
      <c r="J38" s="47">
        <f t="shared" si="0"/>
        <v>68735</v>
      </c>
      <c r="K38" s="42" t="s">
        <v>63</v>
      </c>
    </row>
    <row r="39" spans="1:13" ht="23" x14ac:dyDescent="0.2">
      <c r="A39" s="43">
        <v>38</v>
      </c>
      <c r="B39" s="51">
        <v>46022</v>
      </c>
      <c r="C39" s="52" t="s">
        <v>66</v>
      </c>
      <c r="D39" s="53"/>
      <c r="E39" s="47">
        <v>93100</v>
      </c>
      <c r="F39" s="47"/>
      <c r="G39" s="54"/>
      <c r="H39" s="55"/>
      <c r="I39" s="55"/>
      <c r="J39" s="47">
        <f t="shared" si="0"/>
        <v>93100</v>
      </c>
      <c r="K39" s="42" t="s">
        <v>63</v>
      </c>
    </row>
    <row r="40" spans="1:13" ht="18" x14ac:dyDescent="0.2">
      <c r="A40" s="43">
        <v>39</v>
      </c>
      <c r="B40" s="51">
        <v>46014</v>
      </c>
      <c r="C40" s="52" t="s">
        <v>95</v>
      </c>
      <c r="D40" s="65"/>
      <c r="E40" s="47">
        <v>670000</v>
      </c>
      <c r="F40" s="66"/>
      <c r="G40" s="54"/>
      <c r="H40" s="52"/>
      <c r="I40" s="52"/>
      <c r="J40" s="66">
        <f t="shared" ref="J40:J42" si="2">F40+E40</f>
        <v>670000</v>
      </c>
      <c r="K40" s="42" t="s">
        <v>63</v>
      </c>
    </row>
    <row r="41" spans="1:13" ht="23" x14ac:dyDescent="0.2">
      <c r="A41" s="43">
        <v>40</v>
      </c>
      <c r="B41" s="51">
        <v>46020</v>
      </c>
      <c r="C41" s="52" t="s">
        <v>96</v>
      </c>
      <c r="D41" s="53"/>
      <c r="E41" s="47">
        <v>250176</v>
      </c>
      <c r="F41" s="47"/>
      <c r="G41" s="54"/>
      <c r="H41" s="55"/>
      <c r="I41" s="55"/>
      <c r="J41" s="47">
        <f t="shared" si="2"/>
        <v>250176</v>
      </c>
      <c r="K41" s="42" t="s">
        <v>63</v>
      </c>
    </row>
    <row r="42" spans="1:13" ht="23" x14ac:dyDescent="0.2">
      <c r="A42" s="43">
        <v>41</v>
      </c>
      <c r="B42" s="51">
        <v>46019</v>
      </c>
      <c r="C42" s="52" t="s">
        <v>97</v>
      </c>
      <c r="D42" s="53">
        <v>288</v>
      </c>
      <c r="E42" s="47">
        <f>D42*2400</f>
        <v>691200</v>
      </c>
      <c r="F42" s="47"/>
      <c r="G42" s="54" t="s">
        <v>98</v>
      </c>
      <c r="H42" s="67" t="s">
        <v>99</v>
      </c>
      <c r="I42" s="62">
        <v>46066</v>
      </c>
      <c r="J42" s="47">
        <f t="shared" si="2"/>
        <v>691200</v>
      </c>
      <c r="K42" s="42" t="s">
        <v>63</v>
      </c>
    </row>
    <row r="43" spans="1:13" ht="23" x14ac:dyDescent="0.2">
      <c r="A43" s="43"/>
      <c r="B43" s="51"/>
      <c r="C43" s="52"/>
      <c r="D43" s="53"/>
      <c r="E43" s="47"/>
      <c r="F43" s="47"/>
      <c r="G43" s="54"/>
      <c r="H43" s="55"/>
      <c r="I43" s="55"/>
      <c r="J43" s="47"/>
    </row>
    <row r="44" spans="1:13" ht="23" x14ac:dyDescent="0.2">
      <c r="A44" s="43"/>
      <c r="B44" s="51"/>
      <c r="C44" s="52"/>
      <c r="D44" s="53"/>
      <c r="E44" s="47"/>
      <c r="F44" s="47"/>
      <c r="G44" s="54"/>
      <c r="H44" s="55"/>
      <c r="I44" s="55"/>
      <c r="J44" s="47"/>
    </row>
    <row r="45" spans="1:13" ht="18" x14ac:dyDescent="0.2">
      <c r="A45" s="68" t="s">
        <v>100</v>
      </c>
      <c r="B45" s="51"/>
      <c r="C45" s="52"/>
      <c r="D45" s="65"/>
      <c r="E45" s="47"/>
      <c r="F45" s="47"/>
      <c r="G45" s="54"/>
      <c r="H45" s="52"/>
      <c r="I45" s="52"/>
      <c r="J45" s="47"/>
    </row>
    <row r="46" spans="1:13" ht="18" x14ac:dyDescent="0.2">
      <c r="A46" s="68">
        <v>1</v>
      </c>
      <c r="B46" s="59">
        <v>45992</v>
      </c>
      <c r="C46" s="52" t="s">
        <v>101</v>
      </c>
      <c r="D46" s="65">
        <v>344.02</v>
      </c>
      <c r="E46" s="47">
        <f t="shared" si="1"/>
        <v>818767.6</v>
      </c>
      <c r="F46" s="66"/>
      <c r="G46" s="54" t="s">
        <v>102</v>
      </c>
      <c r="H46" s="52"/>
      <c r="I46" s="52"/>
      <c r="J46" s="47">
        <f t="shared" si="0"/>
        <v>818767.6</v>
      </c>
      <c r="K46" s="42" t="s">
        <v>63</v>
      </c>
    </row>
    <row r="47" spans="1:13" ht="18" x14ac:dyDescent="0.2">
      <c r="A47" s="43">
        <v>2</v>
      </c>
      <c r="B47" s="59">
        <v>45992</v>
      </c>
      <c r="C47" s="52" t="s">
        <v>103</v>
      </c>
      <c r="D47" s="65">
        <v>546</v>
      </c>
      <c r="E47" s="47">
        <f t="shared" si="1"/>
        <v>1299480</v>
      </c>
      <c r="F47" s="47"/>
      <c r="G47" s="54" t="s">
        <v>104</v>
      </c>
      <c r="H47" s="52" t="s">
        <v>105</v>
      </c>
      <c r="I47" s="59">
        <v>45669</v>
      </c>
      <c r="J47" s="47">
        <f t="shared" si="0"/>
        <v>1299480</v>
      </c>
      <c r="K47" s="42" t="s">
        <v>63</v>
      </c>
    </row>
    <row r="48" spans="1:13" ht="18" x14ac:dyDescent="0.2">
      <c r="A48" s="43">
        <v>3</v>
      </c>
      <c r="B48" s="51">
        <v>45994</v>
      </c>
      <c r="C48" s="52" t="s">
        <v>106</v>
      </c>
      <c r="D48" s="65">
        <f>224*2</f>
        <v>448</v>
      </c>
      <c r="E48" s="47">
        <f t="shared" si="1"/>
        <v>1066240</v>
      </c>
      <c r="F48" s="47"/>
      <c r="G48" s="54" t="s">
        <v>107</v>
      </c>
      <c r="H48" s="52" t="s">
        <v>108</v>
      </c>
      <c r="I48" s="51">
        <v>46045</v>
      </c>
      <c r="J48" s="47">
        <f t="shared" si="0"/>
        <v>1066240</v>
      </c>
      <c r="K48" s="42" t="s">
        <v>63</v>
      </c>
      <c r="M48" s="122"/>
    </row>
    <row r="49" spans="1:13" ht="18" x14ac:dyDescent="0.2">
      <c r="A49" s="43">
        <v>4</v>
      </c>
      <c r="B49" s="59">
        <v>45995</v>
      </c>
      <c r="C49" s="52" t="s">
        <v>109</v>
      </c>
      <c r="D49" s="65">
        <v>224</v>
      </c>
      <c r="E49" s="47">
        <f t="shared" si="1"/>
        <v>533120</v>
      </c>
      <c r="F49" s="47"/>
      <c r="G49" s="54" t="s">
        <v>110</v>
      </c>
      <c r="H49" s="52" t="s">
        <v>108</v>
      </c>
      <c r="I49" s="51">
        <v>46045</v>
      </c>
      <c r="J49" s="47">
        <f t="shared" si="0"/>
        <v>533120</v>
      </c>
      <c r="K49" s="42" t="s">
        <v>63</v>
      </c>
      <c r="M49" s="122"/>
    </row>
    <row r="50" spans="1:13" ht="18" x14ac:dyDescent="0.2">
      <c r="A50" s="43">
        <v>5</v>
      </c>
      <c r="B50" s="59">
        <v>45995</v>
      </c>
      <c r="C50" s="52" t="s">
        <v>111</v>
      </c>
      <c r="D50" s="65"/>
      <c r="E50" s="47">
        <v>35900</v>
      </c>
      <c r="F50" s="66"/>
      <c r="G50" s="54"/>
      <c r="H50" s="52"/>
      <c r="I50" s="52"/>
      <c r="J50" s="66">
        <f t="shared" ref="J50:J89" si="3">F50+E50</f>
        <v>35900</v>
      </c>
      <c r="K50" s="42" t="s">
        <v>63</v>
      </c>
    </row>
    <row r="51" spans="1:13" ht="18" x14ac:dyDescent="0.2">
      <c r="A51" s="43">
        <v>6</v>
      </c>
      <c r="B51" s="59">
        <v>45995</v>
      </c>
      <c r="C51" s="52" t="s">
        <v>112</v>
      </c>
      <c r="D51" s="65">
        <v>211</v>
      </c>
      <c r="E51" s="47">
        <f t="shared" si="1"/>
        <v>502180</v>
      </c>
      <c r="F51" s="66"/>
      <c r="G51" s="54" t="s">
        <v>113</v>
      </c>
      <c r="H51" s="52">
        <v>10047588</v>
      </c>
      <c r="I51" s="51">
        <v>46027</v>
      </c>
      <c r="J51" s="66">
        <f t="shared" si="3"/>
        <v>502180</v>
      </c>
      <c r="K51" s="42" t="s">
        <v>63</v>
      </c>
    </row>
    <row r="52" spans="1:13" ht="18" x14ac:dyDescent="0.2">
      <c r="A52" s="43">
        <v>7</v>
      </c>
      <c r="B52" s="59">
        <v>46000</v>
      </c>
      <c r="C52" s="52" t="s">
        <v>114</v>
      </c>
      <c r="D52" s="65"/>
      <c r="E52" s="47">
        <v>16950</v>
      </c>
      <c r="F52" s="66"/>
      <c r="G52" s="54"/>
      <c r="H52" s="52"/>
      <c r="I52" s="52"/>
      <c r="J52" s="66">
        <f t="shared" si="3"/>
        <v>16950</v>
      </c>
      <c r="K52" s="42" t="s">
        <v>63</v>
      </c>
    </row>
    <row r="53" spans="1:13" ht="18" x14ac:dyDescent="0.2">
      <c r="A53" s="43">
        <v>8</v>
      </c>
      <c r="B53" s="59">
        <v>46002</v>
      </c>
      <c r="C53" s="52" t="s">
        <v>115</v>
      </c>
      <c r="D53" s="65">
        <f>142+1346</f>
        <v>1488</v>
      </c>
      <c r="E53" s="47">
        <f>D53*2385</f>
        <v>3548880</v>
      </c>
      <c r="F53" s="66"/>
      <c r="G53" s="54" t="s">
        <v>116</v>
      </c>
      <c r="H53" s="52">
        <v>10047742</v>
      </c>
      <c r="I53" s="59">
        <v>46034</v>
      </c>
      <c r="J53" s="66">
        <f t="shared" si="3"/>
        <v>3548880</v>
      </c>
      <c r="K53" s="42" t="s">
        <v>63</v>
      </c>
    </row>
    <row r="54" spans="1:13" ht="18" x14ac:dyDescent="0.2">
      <c r="A54" s="43">
        <v>9</v>
      </c>
      <c r="B54" s="59">
        <v>46008</v>
      </c>
      <c r="C54" s="52" t="s">
        <v>117</v>
      </c>
      <c r="D54" s="65">
        <v>390</v>
      </c>
      <c r="E54" s="47">
        <f>D54*2400</f>
        <v>936000</v>
      </c>
      <c r="F54" s="66"/>
      <c r="G54" s="54" t="s">
        <v>118</v>
      </c>
      <c r="H54" s="52">
        <v>10047859</v>
      </c>
      <c r="I54" s="59">
        <v>46034</v>
      </c>
      <c r="J54" s="66">
        <f t="shared" si="3"/>
        <v>936000</v>
      </c>
      <c r="K54" s="42" t="s">
        <v>63</v>
      </c>
    </row>
    <row r="55" spans="1:13" ht="18" x14ac:dyDescent="0.2">
      <c r="A55" s="43">
        <v>10</v>
      </c>
      <c r="B55" s="51">
        <v>46383</v>
      </c>
      <c r="C55" s="52" t="s">
        <v>119</v>
      </c>
      <c r="D55" s="65">
        <v>453</v>
      </c>
      <c r="E55" s="47">
        <f t="shared" ref="E55:E57" si="4">D55*2400</f>
        <v>1087200</v>
      </c>
      <c r="F55" s="66"/>
      <c r="G55" s="54" t="s">
        <v>120</v>
      </c>
      <c r="H55" s="52">
        <v>10048048</v>
      </c>
      <c r="I55" s="59">
        <v>46049</v>
      </c>
      <c r="J55" s="66">
        <f t="shared" si="3"/>
        <v>1087200</v>
      </c>
      <c r="K55" s="42" t="s">
        <v>63</v>
      </c>
    </row>
    <row r="56" spans="1:13" ht="20" x14ac:dyDescent="0.2">
      <c r="A56" s="43">
        <v>11</v>
      </c>
      <c r="B56" s="51">
        <v>46018</v>
      </c>
      <c r="C56" s="52" t="s">
        <v>121</v>
      </c>
      <c r="D56" s="65">
        <v>224</v>
      </c>
      <c r="E56" s="47">
        <f t="shared" si="4"/>
        <v>537600</v>
      </c>
      <c r="F56" s="66"/>
      <c r="G56" s="54" t="s">
        <v>122</v>
      </c>
      <c r="H56" s="67" t="s">
        <v>99</v>
      </c>
      <c r="I56" s="59">
        <v>46066</v>
      </c>
      <c r="J56" s="66">
        <f t="shared" si="3"/>
        <v>537600</v>
      </c>
      <c r="K56" s="42" t="s">
        <v>63</v>
      </c>
      <c r="M56" s="122"/>
    </row>
    <row r="57" spans="1:13" ht="20" x14ac:dyDescent="0.2">
      <c r="A57" s="43">
        <v>12</v>
      </c>
      <c r="B57" s="51">
        <v>46018</v>
      </c>
      <c r="C57" s="52" t="s">
        <v>123</v>
      </c>
      <c r="D57" s="65">
        <v>224</v>
      </c>
      <c r="E57" s="47">
        <f t="shared" si="4"/>
        <v>537600</v>
      </c>
      <c r="F57" s="66"/>
      <c r="G57" s="54" t="s">
        <v>124</v>
      </c>
      <c r="H57" s="67" t="s">
        <v>99</v>
      </c>
      <c r="I57" s="59">
        <v>46066</v>
      </c>
      <c r="J57" s="66">
        <f t="shared" si="3"/>
        <v>537600</v>
      </c>
      <c r="K57" s="42" t="s">
        <v>63</v>
      </c>
      <c r="M57" s="122"/>
    </row>
    <row r="58" spans="1:13" ht="20" x14ac:dyDescent="0.2">
      <c r="A58" s="43">
        <v>13</v>
      </c>
      <c r="B58" s="51">
        <v>46018</v>
      </c>
      <c r="C58" s="52" t="s">
        <v>125</v>
      </c>
      <c r="D58" s="65">
        <v>224</v>
      </c>
      <c r="E58" s="47">
        <f t="shared" si="1"/>
        <v>533120</v>
      </c>
      <c r="F58" s="66"/>
      <c r="G58" s="54" t="s">
        <v>126</v>
      </c>
      <c r="H58" s="67" t="s">
        <v>127</v>
      </c>
      <c r="I58" s="59">
        <v>46067</v>
      </c>
      <c r="J58" s="66">
        <f t="shared" si="3"/>
        <v>533120</v>
      </c>
      <c r="K58" s="42" t="s">
        <v>63</v>
      </c>
    </row>
    <row r="59" spans="1:13" ht="18" x14ac:dyDescent="0.2">
      <c r="A59" s="43">
        <v>14</v>
      </c>
      <c r="B59" s="52"/>
      <c r="C59" s="52"/>
      <c r="D59" s="65"/>
      <c r="E59" s="47">
        <f t="shared" si="1"/>
        <v>0</v>
      </c>
      <c r="F59" s="66"/>
      <c r="G59" s="54"/>
      <c r="H59" s="52"/>
      <c r="I59" s="52"/>
      <c r="J59" s="66">
        <f t="shared" si="3"/>
        <v>0</v>
      </c>
    </row>
    <row r="60" spans="1:13" ht="18" x14ac:dyDescent="0.2">
      <c r="A60" s="43">
        <v>15</v>
      </c>
      <c r="B60" s="52"/>
      <c r="C60" s="52"/>
      <c r="D60" s="65"/>
      <c r="E60" s="47">
        <f t="shared" si="1"/>
        <v>0</v>
      </c>
      <c r="F60" s="66"/>
      <c r="G60" s="54"/>
      <c r="H60" s="52"/>
      <c r="I60" s="52"/>
      <c r="J60" s="66">
        <f t="shared" si="3"/>
        <v>0</v>
      </c>
    </row>
    <row r="61" spans="1:13" ht="18" x14ac:dyDescent="0.2">
      <c r="A61" s="43">
        <v>16</v>
      </c>
      <c r="B61" s="52"/>
      <c r="C61" s="52"/>
      <c r="D61" s="65"/>
      <c r="E61" s="47">
        <f t="shared" si="1"/>
        <v>0</v>
      </c>
      <c r="F61" s="66"/>
      <c r="G61" s="54"/>
      <c r="H61" s="52"/>
      <c r="I61" s="52"/>
      <c r="J61" s="66">
        <f t="shared" si="3"/>
        <v>0</v>
      </c>
    </row>
    <row r="62" spans="1:13" ht="18" x14ac:dyDescent="0.2">
      <c r="A62" s="43">
        <v>17</v>
      </c>
      <c r="B62" s="52"/>
      <c r="C62" s="52"/>
      <c r="D62" s="65"/>
      <c r="E62" s="47">
        <f t="shared" si="1"/>
        <v>0</v>
      </c>
      <c r="F62" s="66"/>
      <c r="G62" s="54"/>
      <c r="H62" s="52"/>
      <c r="I62" s="52"/>
      <c r="J62" s="66">
        <f t="shared" si="3"/>
        <v>0</v>
      </c>
    </row>
    <row r="63" spans="1:13" ht="18" x14ac:dyDescent="0.2">
      <c r="A63" s="43">
        <v>18</v>
      </c>
      <c r="B63" s="52"/>
      <c r="C63" s="52"/>
      <c r="D63" s="65"/>
      <c r="E63" s="47">
        <f t="shared" si="1"/>
        <v>0</v>
      </c>
      <c r="F63" s="66"/>
      <c r="G63" s="54"/>
      <c r="H63" s="52"/>
      <c r="I63" s="52"/>
      <c r="J63" s="66">
        <f t="shared" si="3"/>
        <v>0</v>
      </c>
    </row>
    <row r="64" spans="1:13" ht="18" x14ac:dyDescent="0.2">
      <c r="A64" s="43">
        <v>19</v>
      </c>
      <c r="B64" s="52"/>
      <c r="C64" s="52"/>
      <c r="D64" s="65"/>
      <c r="E64" s="47">
        <f t="shared" si="1"/>
        <v>0</v>
      </c>
      <c r="F64" s="66"/>
      <c r="G64" s="54"/>
      <c r="H64" s="52"/>
      <c r="I64" s="52"/>
      <c r="J64" s="66">
        <f t="shared" si="3"/>
        <v>0</v>
      </c>
    </row>
    <row r="65" spans="1:13" ht="18" x14ac:dyDescent="0.2">
      <c r="A65" s="43">
        <v>20</v>
      </c>
      <c r="B65" s="52"/>
      <c r="C65" s="52"/>
      <c r="D65" s="65"/>
      <c r="E65" s="47">
        <f t="shared" si="1"/>
        <v>0</v>
      </c>
      <c r="F65" s="66"/>
      <c r="G65" s="54"/>
      <c r="H65" s="52"/>
      <c r="I65" s="52"/>
      <c r="J65" s="66">
        <f t="shared" si="3"/>
        <v>0</v>
      </c>
    </row>
    <row r="66" spans="1:13" ht="38" x14ac:dyDescent="0.2">
      <c r="A66" s="69" t="s">
        <v>128</v>
      </c>
      <c r="B66" s="114"/>
      <c r="C66" s="115"/>
      <c r="D66" s="115"/>
      <c r="E66" s="115"/>
      <c r="F66" s="115"/>
      <c r="G66" s="115"/>
      <c r="H66" s="115"/>
      <c r="I66" s="116"/>
      <c r="J66" s="31">
        <f>SUM(J2:J65)</f>
        <v>26688737.600000001</v>
      </c>
    </row>
    <row r="67" spans="1:13" ht="18" x14ac:dyDescent="0.2">
      <c r="A67" s="70" t="s">
        <v>48</v>
      </c>
      <c r="B67" s="59"/>
      <c r="C67" s="52"/>
      <c r="D67" s="65"/>
      <c r="E67" s="47">
        <f t="shared" ref="E67" si="5">D67*2280</f>
        <v>0</v>
      </c>
      <c r="F67" s="66"/>
      <c r="G67" s="54"/>
      <c r="H67" s="52"/>
      <c r="I67" s="52"/>
      <c r="J67" s="66"/>
    </row>
    <row r="68" spans="1:13" ht="23" x14ac:dyDescent="0.25">
      <c r="A68" s="43">
        <v>1</v>
      </c>
      <c r="B68" s="51">
        <v>45992</v>
      </c>
      <c r="C68" s="52" t="s">
        <v>129</v>
      </c>
      <c r="D68" s="53"/>
      <c r="E68" s="47">
        <v>101000</v>
      </c>
      <c r="F68" s="47"/>
      <c r="G68" s="54"/>
      <c r="H68" s="57"/>
      <c r="I68" s="58"/>
      <c r="J68" s="47">
        <f t="shared" ref="J68:J69" si="6">E68+F68</f>
        <v>101000</v>
      </c>
      <c r="K68" s="42" t="s">
        <v>63</v>
      </c>
    </row>
    <row r="69" spans="1:13" ht="23" x14ac:dyDescent="0.25">
      <c r="A69" s="68">
        <v>2</v>
      </c>
      <c r="B69" s="51">
        <v>45993</v>
      </c>
      <c r="C69" s="59" t="s">
        <v>130</v>
      </c>
      <c r="D69" s="53"/>
      <c r="E69" s="47">
        <v>1000000</v>
      </c>
      <c r="F69" s="47"/>
      <c r="G69" s="54"/>
      <c r="H69" s="67"/>
      <c r="I69" s="58"/>
      <c r="J69" s="47">
        <f t="shared" si="6"/>
        <v>1000000</v>
      </c>
      <c r="K69" s="42" t="s">
        <v>63</v>
      </c>
    </row>
    <row r="70" spans="1:13" ht="18" x14ac:dyDescent="0.2">
      <c r="A70" s="43">
        <v>3</v>
      </c>
      <c r="B70" s="59">
        <v>45993</v>
      </c>
      <c r="C70" s="52" t="s">
        <v>131</v>
      </c>
      <c r="D70" s="65"/>
      <c r="E70" s="47">
        <f>540000+30000</f>
        <v>570000</v>
      </c>
      <c r="F70" s="66"/>
      <c r="G70" s="54"/>
      <c r="H70" s="52"/>
      <c r="I70" s="52"/>
      <c r="J70" s="66">
        <f t="shared" si="3"/>
        <v>570000</v>
      </c>
      <c r="K70" s="42" t="s">
        <v>63</v>
      </c>
    </row>
    <row r="71" spans="1:13" ht="18" x14ac:dyDescent="0.2">
      <c r="A71" s="43">
        <v>4</v>
      </c>
      <c r="B71" s="59">
        <v>46375</v>
      </c>
      <c r="C71" s="52" t="s">
        <v>132</v>
      </c>
      <c r="D71" s="65"/>
      <c r="E71" s="47">
        <v>10000</v>
      </c>
      <c r="F71" s="66"/>
      <c r="G71" s="54"/>
      <c r="H71" s="52"/>
      <c r="I71" s="52"/>
      <c r="J71" s="66">
        <f t="shared" si="3"/>
        <v>10000</v>
      </c>
      <c r="K71" s="42" t="s">
        <v>63</v>
      </c>
    </row>
    <row r="72" spans="1:13" ht="18" x14ac:dyDescent="0.2">
      <c r="A72" s="43">
        <v>5</v>
      </c>
      <c r="B72" s="51">
        <v>46022</v>
      </c>
      <c r="C72" s="52" t="s">
        <v>133</v>
      </c>
      <c r="D72" s="65"/>
      <c r="E72" s="47">
        <v>1000000</v>
      </c>
      <c r="F72" s="66"/>
      <c r="G72" s="54"/>
      <c r="H72" s="52"/>
      <c r="I72" s="52"/>
      <c r="J72" s="66">
        <f t="shared" si="3"/>
        <v>1000000</v>
      </c>
      <c r="K72" s="42" t="s">
        <v>63</v>
      </c>
    </row>
    <row r="73" spans="1:13" ht="18" x14ac:dyDescent="0.2">
      <c r="A73" s="43">
        <v>6</v>
      </c>
      <c r="B73" s="52"/>
      <c r="C73" s="52"/>
      <c r="D73" s="65"/>
      <c r="E73" s="47">
        <f t="shared" ref="E73:E77" si="7">D73*2380</f>
        <v>0</v>
      </c>
      <c r="F73" s="66"/>
      <c r="G73" s="54"/>
      <c r="H73" s="52"/>
      <c r="I73" s="52"/>
      <c r="J73" s="66">
        <f t="shared" si="3"/>
        <v>0</v>
      </c>
    </row>
    <row r="74" spans="1:13" ht="18" x14ac:dyDescent="0.2">
      <c r="A74" s="43">
        <v>7</v>
      </c>
      <c r="B74" s="52"/>
      <c r="C74" s="52"/>
      <c r="D74" s="65"/>
      <c r="E74" s="47">
        <f t="shared" si="7"/>
        <v>0</v>
      </c>
      <c r="F74" s="66"/>
      <c r="G74" s="54"/>
      <c r="H74" s="52"/>
      <c r="I74" s="52"/>
      <c r="J74" s="66">
        <f t="shared" si="3"/>
        <v>0</v>
      </c>
    </row>
    <row r="75" spans="1:13" ht="18" x14ac:dyDescent="0.2">
      <c r="A75" s="43">
        <v>8</v>
      </c>
      <c r="B75" s="52"/>
      <c r="C75" s="52"/>
      <c r="D75" s="65"/>
      <c r="E75" s="47">
        <f t="shared" si="7"/>
        <v>0</v>
      </c>
      <c r="F75" s="66"/>
      <c r="G75" s="54"/>
      <c r="H75" s="52"/>
      <c r="I75" s="52"/>
      <c r="J75" s="66">
        <f t="shared" si="3"/>
        <v>0</v>
      </c>
    </row>
    <row r="76" spans="1:13" ht="18" x14ac:dyDescent="0.2">
      <c r="A76" s="43">
        <v>9</v>
      </c>
      <c r="B76" s="52"/>
      <c r="C76" s="52"/>
      <c r="D76" s="65"/>
      <c r="E76" s="47">
        <f t="shared" si="7"/>
        <v>0</v>
      </c>
      <c r="F76" s="66"/>
      <c r="G76" s="54"/>
      <c r="H76" s="52"/>
      <c r="I76" s="52"/>
      <c r="J76" s="66">
        <f t="shared" si="3"/>
        <v>0</v>
      </c>
    </row>
    <row r="77" spans="1:13" ht="18" x14ac:dyDescent="0.2">
      <c r="A77" s="71">
        <v>10</v>
      </c>
      <c r="B77" s="52"/>
      <c r="C77" s="52"/>
      <c r="D77" s="65"/>
      <c r="E77" s="47">
        <f t="shared" si="7"/>
        <v>0</v>
      </c>
      <c r="F77" s="66"/>
      <c r="G77" s="54"/>
      <c r="H77" s="52"/>
      <c r="I77" s="52"/>
      <c r="J77" s="66">
        <f t="shared" si="3"/>
        <v>0</v>
      </c>
    </row>
    <row r="78" spans="1:13" ht="38" x14ac:dyDescent="0.2">
      <c r="A78" s="72" t="s">
        <v>134</v>
      </c>
      <c r="B78" s="117"/>
      <c r="C78" s="118"/>
      <c r="D78" s="118"/>
      <c r="E78" s="118"/>
      <c r="F78" s="118"/>
      <c r="G78" s="118"/>
      <c r="H78" s="118"/>
      <c r="I78" s="119"/>
      <c r="J78" s="73">
        <f>SUM(J68:J77)</f>
        <v>2681000</v>
      </c>
      <c r="K78" s="74"/>
      <c r="L78" s="123"/>
      <c r="M78" s="123"/>
    </row>
    <row r="79" spans="1:13" ht="38" x14ac:dyDescent="0.2">
      <c r="A79" s="75" t="s">
        <v>135</v>
      </c>
      <c r="B79" s="52"/>
      <c r="C79" s="52"/>
      <c r="D79" s="65"/>
      <c r="E79" s="47"/>
      <c r="F79" s="66"/>
      <c r="G79" s="54"/>
      <c r="H79" s="52"/>
      <c r="I79" s="52"/>
      <c r="J79" s="66"/>
    </row>
    <row r="80" spans="1:13" ht="18" x14ac:dyDescent="0.2">
      <c r="A80" s="43">
        <v>1</v>
      </c>
      <c r="B80" s="59">
        <v>45995</v>
      </c>
      <c r="C80" s="52" t="s">
        <v>136</v>
      </c>
      <c r="D80" s="65"/>
      <c r="E80" s="66">
        <v>135000</v>
      </c>
      <c r="F80" s="66"/>
      <c r="G80" s="54"/>
      <c r="H80" s="52"/>
      <c r="I80" s="52"/>
      <c r="J80" s="66">
        <f t="shared" si="3"/>
        <v>135000</v>
      </c>
      <c r="K80" s="42" t="s">
        <v>63</v>
      </c>
    </row>
    <row r="81" spans="1:11" ht="18" x14ac:dyDescent="0.2">
      <c r="A81" s="43">
        <v>2</v>
      </c>
      <c r="B81" s="59">
        <v>45995</v>
      </c>
      <c r="C81" s="52" t="s">
        <v>137</v>
      </c>
      <c r="D81" s="65"/>
      <c r="E81" s="66">
        <v>35000</v>
      </c>
      <c r="F81" s="66"/>
      <c r="G81" s="54"/>
      <c r="H81" s="52"/>
      <c r="I81" s="52"/>
      <c r="J81" s="66">
        <f t="shared" si="3"/>
        <v>35000</v>
      </c>
      <c r="K81" s="42" t="s">
        <v>63</v>
      </c>
    </row>
    <row r="82" spans="1:11" ht="18" x14ac:dyDescent="0.2">
      <c r="A82" s="43">
        <v>3</v>
      </c>
      <c r="B82" s="59">
        <v>45996</v>
      </c>
      <c r="C82" s="52" t="s">
        <v>138</v>
      </c>
      <c r="D82" s="65"/>
      <c r="E82" s="66">
        <v>840000</v>
      </c>
      <c r="F82" s="66"/>
      <c r="G82" s="54"/>
      <c r="H82" s="52"/>
      <c r="I82" s="52"/>
      <c r="J82" s="66">
        <f t="shared" si="3"/>
        <v>840000</v>
      </c>
      <c r="K82" s="42" t="s">
        <v>63</v>
      </c>
    </row>
    <row r="83" spans="1:11" ht="18" x14ac:dyDescent="0.2">
      <c r="A83" s="43">
        <v>4</v>
      </c>
      <c r="B83" s="59">
        <v>45996</v>
      </c>
      <c r="C83" s="52" t="s">
        <v>139</v>
      </c>
      <c r="D83" s="65"/>
      <c r="E83" s="66">
        <v>110000</v>
      </c>
      <c r="F83" s="66"/>
      <c r="G83" s="54"/>
      <c r="H83" s="52"/>
      <c r="I83" s="52"/>
      <c r="J83" s="66">
        <f t="shared" si="3"/>
        <v>110000</v>
      </c>
      <c r="K83" s="42" t="s">
        <v>63</v>
      </c>
    </row>
    <row r="84" spans="1:11" ht="18" x14ac:dyDescent="0.2">
      <c r="A84" s="43">
        <v>5</v>
      </c>
      <c r="B84" s="59">
        <v>45997</v>
      </c>
      <c r="C84" s="52" t="s">
        <v>140</v>
      </c>
      <c r="D84" s="65"/>
      <c r="E84" s="66">
        <v>150000</v>
      </c>
      <c r="F84" s="66"/>
      <c r="G84" s="54"/>
      <c r="H84" s="52"/>
      <c r="I84" s="52"/>
      <c r="J84" s="66">
        <f t="shared" si="3"/>
        <v>150000</v>
      </c>
      <c r="K84" s="42" t="s">
        <v>63</v>
      </c>
    </row>
    <row r="85" spans="1:11" ht="18" x14ac:dyDescent="0.2">
      <c r="A85" s="43">
        <v>6</v>
      </c>
      <c r="B85" s="76">
        <v>46375</v>
      </c>
      <c r="C85" s="77" t="s">
        <v>141</v>
      </c>
      <c r="D85" s="78"/>
      <c r="E85" s="66">
        <v>630000</v>
      </c>
      <c r="F85" s="79"/>
      <c r="G85" s="80"/>
      <c r="H85" s="77"/>
      <c r="I85" s="77"/>
      <c r="J85" s="66">
        <f t="shared" si="3"/>
        <v>630000</v>
      </c>
      <c r="K85" s="42" t="s">
        <v>63</v>
      </c>
    </row>
    <row r="86" spans="1:11" ht="18" x14ac:dyDescent="0.2">
      <c r="A86" s="43">
        <v>7</v>
      </c>
      <c r="B86" s="76">
        <v>46379</v>
      </c>
      <c r="C86" s="77" t="s">
        <v>142</v>
      </c>
      <c r="D86" s="78"/>
      <c r="E86" s="66">
        <v>790000</v>
      </c>
      <c r="F86" s="79"/>
      <c r="G86" s="80"/>
      <c r="H86" s="77"/>
      <c r="I86" s="77"/>
      <c r="J86" s="66">
        <f t="shared" si="3"/>
        <v>790000</v>
      </c>
      <c r="K86" s="42" t="s">
        <v>63</v>
      </c>
    </row>
    <row r="87" spans="1:11" ht="18" x14ac:dyDescent="0.2">
      <c r="A87" s="43">
        <v>8</v>
      </c>
      <c r="B87" s="76">
        <v>46384</v>
      </c>
      <c r="C87" s="77" t="s">
        <v>143</v>
      </c>
      <c r="D87" s="78"/>
      <c r="E87" s="66">
        <v>197000</v>
      </c>
      <c r="F87" s="79"/>
      <c r="G87" s="80"/>
      <c r="H87" s="77"/>
      <c r="I87" s="77"/>
      <c r="J87" s="66">
        <f t="shared" si="3"/>
        <v>197000</v>
      </c>
      <c r="K87" s="42" t="s">
        <v>63</v>
      </c>
    </row>
    <row r="88" spans="1:11" ht="18" x14ac:dyDescent="0.2">
      <c r="A88" s="43">
        <v>9</v>
      </c>
      <c r="B88" s="76">
        <v>46386</v>
      </c>
      <c r="C88" s="77" t="s">
        <v>143</v>
      </c>
      <c r="D88" s="78"/>
      <c r="E88" s="66">
        <v>1630000</v>
      </c>
      <c r="F88" s="79"/>
      <c r="G88" s="80"/>
      <c r="H88" s="77"/>
      <c r="I88" s="77"/>
      <c r="J88" s="66">
        <f t="shared" si="3"/>
        <v>1630000</v>
      </c>
      <c r="K88" s="42" t="s">
        <v>63</v>
      </c>
    </row>
    <row r="89" spans="1:11" ht="18" x14ac:dyDescent="0.2">
      <c r="A89" s="43">
        <v>10</v>
      </c>
      <c r="B89" s="77"/>
      <c r="C89" s="77"/>
      <c r="D89" s="78"/>
      <c r="E89" s="66">
        <f t="shared" ref="E89" si="8">D89*2380</f>
        <v>0</v>
      </c>
      <c r="F89" s="79"/>
      <c r="G89" s="80"/>
      <c r="H89" s="77"/>
      <c r="I89" s="77"/>
      <c r="J89" s="81">
        <f t="shared" si="3"/>
        <v>0</v>
      </c>
    </row>
    <row r="90" spans="1:11" ht="38" x14ac:dyDescent="0.2">
      <c r="A90" s="69" t="s">
        <v>144</v>
      </c>
      <c r="B90" s="120"/>
      <c r="C90" s="120"/>
      <c r="D90" s="120"/>
      <c r="E90" s="120"/>
      <c r="F90" s="120"/>
      <c r="G90" s="120"/>
      <c r="H90" s="120"/>
      <c r="I90" s="120"/>
      <c r="J90" s="82">
        <f>SUM(J80:J89)</f>
        <v>4517000</v>
      </c>
    </row>
    <row r="91" spans="1:11" ht="18" x14ac:dyDescent="0.2">
      <c r="A91" s="83"/>
      <c r="B91" s="77"/>
      <c r="C91" s="77"/>
      <c r="D91" s="84"/>
      <c r="E91" s="85"/>
      <c r="F91" s="86"/>
      <c r="G91" s="80"/>
      <c r="H91" s="77"/>
      <c r="I91" s="77"/>
      <c r="J91" s="86"/>
    </row>
    <row r="92" spans="1:11" ht="18" x14ac:dyDescent="0.2">
      <c r="A92" s="87" t="s">
        <v>145</v>
      </c>
      <c r="B92" s="88"/>
      <c r="C92" s="88"/>
      <c r="D92" s="89"/>
      <c r="E92" s="90"/>
      <c r="F92" s="90"/>
      <c r="G92" s="91"/>
      <c r="H92" s="88"/>
      <c r="I92" s="88"/>
      <c r="J92" s="92">
        <f>SUM(J78+J90)</f>
        <v>7198000</v>
      </c>
    </row>
    <row r="93" spans="1:11" ht="23" x14ac:dyDescent="0.25">
      <c r="A93" s="86"/>
      <c r="B93" s="77"/>
      <c r="C93" s="77"/>
      <c r="D93" s="78"/>
      <c r="E93" s="86"/>
      <c r="F93" s="86"/>
      <c r="G93" s="80"/>
      <c r="H93" s="77"/>
      <c r="I93" s="93"/>
      <c r="J93" s="94"/>
    </row>
    <row r="94" spans="1:11" ht="23" x14ac:dyDescent="0.25">
      <c r="A94" s="95" t="s">
        <v>146</v>
      </c>
      <c r="B94" s="96"/>
      <c r="C94" s="96"/>
      <c r="D94" s="97"/>
      <c r="E94" s="98"/>
      <c r="F94" s="98"/>
      <c r="G94" s="99"/>
      <c r="H94" s="96"/>
      <c r="I94" s="100"/>
      <c r="J94" s="101">
        <f>J92+J66-E95</f>
        <v>33798450</v>
      </c>
    </row>
    <row r="95" spans="1:11" ht="23" x14ac:dyDescent="0.25">
      <c r="A95" s="102"/>
      <c r="B95" s="77"/>
      <c r="C95" s="77" t="s">
        <v>147</v>
      </c>
      <c r="D95" s="78">
        <v>37.409999999999997</v>
      </c>
      <c r="E95" s="78">
        <f>D95*2360</f>
        <v>88287.599999999991</v>
      </c>
      <c r="F95" s="86"/>
      <c r="G95" s="80"/>
      <c r="H95" s="77"/>
      <c r="I95" s="93"/>
      <c r="J95" s="103"/>
    </row>
    <row r="96" spans="1:11" ht="23" x14ac:dyDescent="0.25">
      <c r="A96" s="86"/>
      <c r="B96" s="77"/>
      <c r="C96" s="77"/>
      <c r="D96" s="78"/>
      <c r="E96" s="86"/>
      <c r="F96" s="86"/>
      <c r="G96" s="80"/>
      <c r="H96" s="77"/>
      <c r="I96" s="93"/>
      <c r="J96" s="94"/>
    </row>
    <row r="97" spans="1:10" ht="23" x14ac:dyDescent="0.25">
      <c r="A97" s="86"/>
      <c r="B97" s="77"/>
      <c r="C97" s="77"/>
      <c r="D97" s="78"/>
      <c r="E97" s="86"/>
      <c r="F97" s="86"/>
      <c r="G97" s="80"/>
      <c r="H97" s="77"/>
      <c r="I97" s="93"/>
      <c r="J97" s="94"/>
    </row>
    <row r="98" spans="1:10" ht="23" x14ac:dyDescent="0.25">
      <c r="A98" s="86"/>
      <c r="B98" s="77"/>
      <c r="C98" s="77"/>
      <c r="D98" s="78"/>
      <c r="E98" s="86"/>
      <c r="F98" s="86"/>
      <c r="G98" s="80"/>
      <c r="H98" s="77"/>
      <c r="I98" s="93"/>
      <c r="J98" s="94"/>
    </row>
    <row r="99" spans="1:10" ht="23" x14ac:dyDescent="0.25">
      <c r="A99" s="86"/>
      <c r="B99" s="77"/>
      <c r="C99" s="77"/>
      <c r="D99" s="78"/>
      <c r="E99" s="86"/>
      <c r="F99" s="86"/>
      <c r="G99" s="80"/>
      <c r="H99" s="77"/>
      <c r="I99" s="104"/>
      <c r="J99" s="103"/>
    </row>
    <row r="100" spans="1:10" ht="20" x14ac:dyDescent="0.2">
      <c r="A100" s="86"/>
      <c r="B100" s="77"/>
      <c r="C100" s="77"/>
      <c r="D100" s="78"/>
      <c r="E100" s="86"/>
      <c r="F100" s="86"/>
      <c r="G100" s="80"/>
      <c r="H100" s="77"/>
      <c r="I100" s="104"/>
      <c r="J100" s="105"/>
    </row>
    <row r="101" spans="1:10" ht="20" x14ac:dyDescent="0.2">
      <c r="A101" s="86"/>
      <c r="B101" s="77"/>
      <c r="C101" s="77"/>
      <c r="D101" s="78"/>
      <c r="E101" s="86"/>
      <c r="F101" s="86"/>
      <c r="G101" s="80"/>
      <c r="H101" s="77"/>
      <c r="I101" s="106"/>
      <c r="J101" s="107"/>
    </row>
    <row r="102" spans="1:10" ht="20" x14ac:dyDescent="0.2">
      <c r="A102" s="86"/>
      <c r="B102" s="77"/>
      <c r="C102" s="77"/>
      <c r="D102" s="78"/>
      <c r="E102" s="86"/>
      <c r="F102" s="86"/>
      <c r="G102" s="80"/>
      <c r="H102" s="77"/>
      <c r="I102" s="106"/>
      <c r="J102" s="107"/>
    </row>
    <row r="103" spans="1:10" ht="20" x14ac:dyDescent="0.2">
      <c r="A103" s="86"/>
      <c r="B103" s="77"/>
      <c r="C103" s="77"/>
      <c r="D103" s="78"/>
      <c r="E103" s="86"/>
      <c r="F103" s="86"/>
      <c r="G103" s="80"/>
      <c r="H103" s="77"/>
      <c r="I103" s="106"/>
      <c r="J103" s="107"/>
    </row>
    <row r="104" spans="1:10" ht="20" x14ac:dyDescent="0.2">
      <c r="A104" s="86"/>
      <c r="B104" s="77"/>
      <c r="C104" s="77"/>
      <c r="D104" s="78"/>
      <c r="E104" s="86"/>
      <c r="F104" s="86"/>
      <c r="G104" s="80"/>
      <c r="H104" s="77"/>
      <c r="I104" s="106"/>
      <c r="J104" s="107"/>
    </row>
    <row r="105" spans="1:10" ht="20" x14ac:dyDescent="0.2">
      <c r="A105" s="86"/>
      <c r="B105" s="77"/>
      <c r="C105" s="77"/>
      <c r="D105" s="78"/>
      <c r="E105" s="86"/>
      <c r="F105" s="86"/>
      <c r="G105" s="80"/>
      <c r="H105" s="77"/>
      <c r="I105" s="104"/>
      <c r="J105" s="108"/>
    </row>
    <row r="106" spans="1:10" ht="20" x14ac:dyDescent="0.2">
      <c r="A106" s="86"/>
      <c r="B106" s="77"/>
      <c r="C106" s="77"/>
      <c r="D106" s="78"/>
      <c r="E106" s="86"/>
      <c r="F106" s="86"/>
      <c r="G106" s="80"/>
      <c r="H106" s="77"/>
      <c r="I106" s="106"/>
      <c r="J106" s="109"/>
    </row>
    <row r="107" spans="1:10" ht="18" x14ac:dyDescent="0.2">
      <c r="A107" s="86"/>
      <c r="B107" s="77"/>
      <c r="C107" s="77"/>
      <c r="D107" s="78"/>
      <c r="E107" s="86"/>
      <c r="F107" s="86"/>
      <c r="G107" s="80"/>
      <c r="H107" s="77"/>
    </row>
    <row r="108" spans="1:10" ht="18" x14ac:dyDescent="0.2">
      <c r="A108" s="86"/>
      <c r="B108" s="77"/>
      <c r="C108" s="77"/>
      <c r="D108" s="78"/>
      <c r="E108" s="86"/>
      <c r="F108" s="86"/>
      <c r="G108" s="80"/>
      <c r="H108" s="77"/>
    </row>
    <row r="109" spans="1:10" ht="18" x14ac:dyDescent="0.2">
      <c r="A109" s="86"/>
      <c r="B109" s="77"/>
      <c r="C109" s="77"/>
      <c r="D109" s="78"/>
      <c r="E109" s="86"/>
      <c r="F109" s="86"/>
      <c r="G109" s="80"/>
      <c r="H109" s="77"/>
    </row>
    <row r="110" spans="1:10" ht="18" x14ac:dyDescent="0.2">
      <c r="A110" s="86"/>
      <c r="B110" s="77"/>
      <c r="C110" s="77"/>
      <c r="D110" s="78"/>
      <c r="E110" s="86"/>
      <c r="F110" s="86"/>
      <c r="G110" s="80"/>
      <c r="H110" s="77"/>
    </row>
    <row r="111" spans="1:10" ht="18" x14ac:dyDescent="0.2">
      <c r="A111" s="86"/>
      <c r="B111" s="109"/>
      <c r="C111" s="109"/>
      <c r="D111" s="84"/>
      <c r="E111" s="109"/>
      <c r="F111" s="109"/>
      <c r="G111" s="110"/>
      <c r="H111" s="111"/>
    </row>
    <row r="112" spans="1:10" ht="18" x14ac:dyDescent="0.2">
      <c r="A112" s="86"/>
      <c r="B112" s="109"/>
      <c r="C112" s="109"/>
      <c r="D112" s="84"/>
      <c r="E112" s="109"/>
      <c r="F112" s="109"/>
      <c r="G112" s="110"/>
      <c r="H112" s="111"/>
    </row>
    <row r="113" spans="1:8" x14ac:dyDescent="0.2">
      <c r="A113" s="109"/>
      <c r="B113" s="109"/>
      <c r="C113" s="109"/>
      <c r="D113" s="84"/>
      <c r="E113" s="109"/>
      <c r="F113" s="109"/>
      <c r="G113" s="110"/>
      <c r="H113" s="111"/>
    </row>
    <row r="114" spans="1:8" x14ac:dyDescent="0.2">
      <c r="A114" s="109"/>
      <c r="B114" s="109"/>
      <c r="C114" s="109"/>
      <c r="D114" s="84"/>
      <c r="E114" s="109"/>
      <c r="F114" s="109"/>
      <c r="G114" s="110"/>
      <c r="H114" s="111"/>
    </row>
    <row r="115" spans="1:8" x14ac:dyDescent="0.2">
      <c r="A115" s="109"/>
      <c r="B115" s="109"/>
      <c r="C115" s="109"/>
      <c r="D115" s="84"/>
      <c r="E115" s="109"/>
      <c r="F115" s="109"/>
      <c r="G115" s="110"/>
      <c r="H115" s="111"/>
    </row>
    <row r="116" spans="1:8" x14ac:dyDescent="0.2">
      <c r="A116" s="109"/>
      <c r="B116" s="109"/>
      <c r="C116" s="109"/>
      <c r="D116" s="84"/>
      <c r="E116" s="109"/>
      <c r="F116" s="109"/>
      <c r="G116" s="110"/>
      <c r="H116" s="111"/>
    </row>
  </sheetData>
  <mergeCells count="5">
    <mergeCell ref="M48:M49"/>
    <mergeCell ref="M56:M57"/>
    <mergeCell ref="B66:I66"/>
    <mergeCell ref="B78:I78"/>
    <mergeCell ref="B90:I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Pencatatan</vt:lpstr>
      <vt:lpstr>Pembelian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Winnaria Zheng</dc:creator>
  <cp:lastModifiedBy>Winnaria Zheng</cp:lastModifiedBy>
  <dcterms:created xsi:type="dcterms:W3CDTF">2026-03-29T06:01:18Z</dcterms:created>
  <dcterms:modified xsi:type="dcterms:W3CDTF">2026-03-29T06:17:59Z</dcterms:modified>
</cp:coreProperties>
</file>